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anastra-my.sharepoint.com/personal/gustavo_prometti_kanastra_com_br/Documents/Documentos/Kanastra/Projeto pipe/"/>
    </mc:Choice>
  </mc:AlternateContent>
  <xr:revisionPtr revIDLastSave="22" documentId="8_{8708DA49-3052-4155-9C06-39426C982B7C}" xr6:coauthVersionLast="47" xr6:coauthVersionMax="47" xr10:uidLastSave="{CE157AB8-A4AB-4607-8D0D-C5C237E0544C}"/>
  <bookViews>
    <workbookView xWindow="-120" yWindow="-120" windowWidth="29040" windowHeight="15720" xr2:uid="{11F3EF56-D9C1-4370-AE91-CC79D3B8BE57}"/>
  </bookViews>
  <sheets>
    <sheet name="Planilha1" sheetId="1" r:id="rId1"/>
  </sheets>
  <externalReferences>
    <externalReference r:id="rId2"/>
  </externalReferences>
  <definedNames>
    <definedName name="_xlnm._FilterDatabase" localSheetId="0" hidden="1">Planilha1!$A$1:$I$51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7" i="1" l="1"/>
  <c r="E60" i="1"/>
  <c r="E107" i="1"/>
  <c r="E118" i="1"/>
</calcChain>
</file>

<file path=xl/sharedStrings.xml><?xml version="1.0" encoding="utf-8"?>
<sst xmlns="http://schemas.openxmlformats.org/spreadsheetml/2006/main" count="682" uniqueCount="258">
  <si>
    <t>CNPJ_FUNDO</t>
  </si>
  <si>
    <t>CODIGO_BANCO_FUNDO</t>
  </si>
  <si>
    <t>AGENCIA_FUNDO</t>
  </si>
  <si>
    <t>CONTA_COM_DIGITO_FUNDO</t>
  </si>
  <si>
    <t>NOME_FAVORECIDO</t>
  </si>
  <si>
    <t>CADASTRO_FAVORECIDO</t>
  </si>
  <si>
    <t>CODIGO_BANCO_FAVORECIDO</t>
  </si>
  <si>
    <t>AGENCIA_FAVORECIDO</t>
  </si>
  <si>
    <t>CONTA_COM_DIGITO_FAVORECIDO</t>
  </si>
  <si>
    <t>32933119000103</t>
  </si>
  <si>
    <t>033</t>
  </si>
  <si>
    <t>213</t>
  </si>
  <si>
    <t>0001</t>
  </si>
  <si>
    <t>18676987000124</t>
  </si>
  <si>
    <t>CLM FIDC</t>
  </si>
  <si>
    <t>39851553000193</t>
  </si>
  <si>
    <t>COINVEST FIDC</t>
  </si>
  <si>
    <t>30177946000199</t>
  </si>
  <si>
    <t>CPV FIDC</t>
  </si>
  <si>
    <t>45938235000167</t>
  </si>
  <si>
    <t>NABOA FIDC NP</t>
  </si>
  <si>
    <t>385805</t>
  </si>
  <si>
    <t>42273967000197</t>
  </si>
  <si>
    <t>26913825000190</t>
  </si>
  <si>
    <t>PRIMEPAG FIDC</t>
  </si>
  <si>
    <t>381855</t>
  </si>
  <si>
    <t>43023990000196</t>
  </si>
  <si>
    <t>CHILLI BEANS FIDC</t>
  </si>
  <si>
    <t>23773276000108</t>
  </si>
  <si>
    <t>AKIREDE FIDC</t>
  </si>
  <si>
    <t>ALPS BANK FUNDO DE INVEST.</t>
  </si>
  <si>
    <t>ATIVA FIDC</t>
  </si>
  <si>
    <t>BOLSA DE CREDITOS FIDC</t>
  </si>
  <si>
    <t>DORO CAPITAL FIDC</t>
  </si>
  <si>
    <t>EOS FUNDO DE INVESTIMENTO EM DIREITO</t>
  </si>
  <si>
    <t>FATURE FIDC</t>
  </si>
  <si>
    <t>GOOROO FIDC</t>
  </si>
  <si>
    <t>HEALTH MERCANTIL FIDC</t>
  </si>
  <si>
    <t>MENESTYS MULTI ESTRATEGIA FUNDO</t>
  </si>
  <si>
    <t>MULTIBANK FIDC</t>
  </si>
  <si>
    <t>NETMONEY FIDC</t>
  </si>
  <si>
    <t>NOBEL II FIDC</t>
  </si>
  <si>
    <t>PAGALEVE FUNDO DE INVEST.</t>
  </si>
  <si>
    <t>52200745000106</t>
  </si>
  <si>
    <t>51410150000104</t>
  </si>
  <si>
    <t>50118274000158</t>
  </si>
  <si>
    <t>50692376000182</t>
  </si>
  <si>
    <t>51731270000103</t>
  </si>
  <si>
    <t>48169685000120</t>
  </si>
  <si>
    <t>51295720000162</t>
  </si>
  <si>
    <t>50790524000100</t>
  </si>
  <si>
    <t>50059866000146</t>
  </si>
  <si>
    <t>51253601000147</t>
  </si>
  <si>
    <t>25354081000159</t>
  </si>
  <si>
    <t>51294885000110</t>
  </si>
  <si>
    <t>27326160000181</t>
  </si>
  <si>
    <t>29494000000177</t>
  </si>
  <si>
    <t>50824501000160</t>
  </si>
  <si>
    <t>50823781000192</t>
  </si>
  <si>
    <t>49691846000104</t>
  </si>
  <si>
    <t>43122353000177</t>
  </si>
  <si>
    <t>386283</t>
  </si>
  <si>
    <t>AID BANK FUNDO DE INVESTIMENTO EM D</t>
  </si>
  <si>
    <t>AMPLIC FUNDO DE INVESTIMENTO EM DIR</t>
  </si>
  <si>
    <t>FACIO FUNDO DE INVESTIMENTO EM DIRE</t>
  </si>
  <si>
    <t>FIDC NAO PADRONIZADOS CREDITAS TEMP</t>
  </si>
  <si>
    <t>HB CAPITAL FUNDO DE INVESTIMENTO EM</t>
  </si>
  <si>
    <t>PLETORA FUNDO DE INVESTIMENTO EM DI</t>
  </si>
  <si>
    <t>TESLA FUNDO DE INVESTIMENTO EM DIRE</t>
  </si>
  <si>
    <t>URBANO FUNDO DE INVESTIMENTO EM DIR</t>
  </si>
  <si>
    <t>51732995000116</t>
  </si>
  <si>
    <t>53095241000128</t>
  </si>
  <si>
    <t>51119641000109</t>
  </si>
  <si>
    <t>130221865</t>
  </si>
  <si>
    <t>PRIME FUNDO DE INVESTIMENTO EM DIRE</t>
  </si>
  <si>
    <t>20905862000170</t>
  </si>
  <si>
    <t>2271</t>
  </si>
  <si>
    <t>130887740</t>
  </si>
  <si>
    <t>BANCOR FUNDO DE INVESTIMENTO EM DIR</t>
  </si>
  <si>
    <t>LABRADOR FUNDO DE INVESTIMENTO EM D</t>
  </si>
  <si>
    <t>CUB FUNDO DE INVESTIMENTO EM DIREIT</t>
  </si>
  <si>
    <t>GRANA TECH CREDITO POPULAR FUNDO DE</t>
  </si>
  <si>
    <t>MOBILITAS FUNDO DE INVESTIMENTO EM</t>
  </si>
  <si>
    <t>SETTORE CREDITO PRIVADO FUNDO DE IN</t>
  </si>
  <si>
    <t>AGROCANA FUNDO DE INVESTIMENTO EM D</t>
  </si>
  <si>
    <t>PRIMATO FUNDO DE INVESTIMENTO EM DI</t>
  </si>
  <si>
    <t>YELLOW FUNDO DE INVESTIMENTO EM DIR</t>
  </si>
  <si>
    <t>NSTECH FUNDO DE INVESTIMENTO EM DIR</t>
  </si>
  <si>
    <t>J17 ORION FUNDO DE INVESTIMENTO MUL</t>
  </si>
  <si>
    <t>TIG FUNDO DE INVESTIMENTO FINANCEIR</t>
  </si>
  <si>
    <t>INDIE MERX RAIZ I CRÉDITO AGRO FIDC</t>
  </si>
  <si>
    <t>CREDALUGA FUNDO DE INVESTIMENTO FIN</t>
  </si>
  <si>
    <t>NORDE FUNDO DE INVESTIMENTO EM DIRE</t>
  </si>
  <si>
    <t>MULTIPLO BNK FUNDO DE INVESTIMENTO</t>
  </si>
  <si>
    <t>KUYPER FUNDO DE INVESTIMENTO EM DIR</t>
  </si>
  <si>
    <t>51555510000166</t>
  </si>
  <si>
    <t>21917325000103</t>
  </si>
  <si>
    <t>57258316000103</t>
  </si>
  <si>
    <t>51254064000150</t>
  </si>
  <si>
    <t>57270666000187</t>
  </si>
  <si>
    <t>20256882000168</t>
  </si>
  <si>
    <t>57053395000108</t>
  </si>
  <si>
    <t>55074368000196</t>
  </si>
  <si>
    <t>52649689000183</t>
  </si>
  <si>
    <t>56075525000140</t>
  </si>
  <si>
    <t>56110113000102</t>
  </si>
  <si>
    <t>56112240000132</t>
  </si>
  <si>
    <t>38057973000130</t>
  </si>
  <si>
    <t>54994364000163</t>
  </si>
  <si>
    <t>54857414000160</t>
  </si>
  <si>
    <t>54747911000106</t>
  </si>
  <si>
    <t>54585643000173</t>
  </si>
  <si>
    <t>52200741000110</t>
  </si>
  <si>
    <t>53304415000115</t>
  </si>
  <si>
    <t>53499439000177</t>
  </si>
  <si>
    <t>130158707</t>
  </si>
  <si>
    <t>130128951</t>
  </si>
  <si>
    <t>130159052</t>
  </si>
  <si>
    <t>130158611</t>
  </si>
  <si>
    <t>130156774</t>
  </si>
  <si>
    <t>130149998</t>
  </si>
  <si>
    <t>130153142</t>
  </si>
  <si>
    <t>130155467</t>
  </si>
  <si>
    <t>130153197</t>
  </si>
  <si>
    <t>130233206</t>
  </si>
  <si>
    <t>130150273</t>
  </si>
  <si>
    <t>130150826</t>
  </si>
  <si>
    <t>130146201</t>
  </si>
  <si>
    <t>130145547</t>
  </si>
  <si>
    <t>130133137</t>
  </si>
  <si>
    <t>130139559</t>
  </si>
  <si>
    <t>130140621</t>
  </si>
  <si>
    <t>FIDC CREDITAS AUTO X  RESPONSABILI</t>
  </si>
  <si>
    <t>FIDC AUTO GWM  RESPONSABILIDADE LI</t>
  </si>
  <si>
    <t>TRADEMASTER III FIDC  RECEBIVEIS C</t>
  </si>
  <si>
    <t>130232999</t>
  </si>
  <si>
    <t>383470</t>
  </si>
  <si>
    <t>386500</t>
  </si>
  <si>
    <t>387182</t>
  </si>
  <si>
    <t>388260</t>
  </si>
  <si>
    <t>388294</t>
  </si>
  <si>
    <t>389002</t>
  </si>
  <si>
    <t>3711015</t>
  </si>
  <si>
    <t>ATICCA DIGITAL FUNDO DE INVESTIMENT</t>
  </si>
  <si>
    <t>ARBO FUNDO DE INVESTIMENTO EM DIREI</t>
  </si>
  <si>
    <t>AGROSS FUNDO DE INVESTIMENTO EM DIR</t>
  </si>
  <si>
    <t>AV BANCO FUNDO DE INVESTIMENTO EM D</t>
  </si>
  <si>
    <t>BERILO FUNDO DE INVESTIMENTO EM DIR</t>
  </si>
  <si>
    <t>BLIPS FUNDO DE INVESTIMENTO EM DIRE</t>
  </si>
  <si>
    <t>C.E. CENTRAL DE EMBALAGENS LTDA EM</t>
  </si>
  <si>
    <t>CITRINO TEMPO CAPTOR II FUNDO DE IN</t>
  </si>
  <si>
    <t>CL E AM CAPITAL BANK FUNDO DE INVES</t>
  </si>
  <si>
    <t>385864</t>
  </si>
  <si>
    <t>COLLAB FUNDO DE INVESTIMENTO EM DIR</t>
  </si>
  <si>
    <t>CONDOLIVRE FUNDO DE INVESTIMENTO EM</t>
  </si>
  <si>
    <t>DC1 FUNDO DE INVESTIMENTO EM DIREIT</t>
  </si>
  <si>
    <t>DOCICAN AGROINDUSTRIA LTDA</t>
  </si>
  <si>
    <t>FACTIA FUNDO DE INVESTIMENTO EM DIR</t>
  </si>
  <si>
    <t>FAISCA FUNDO DE INVESTIMENTO EM DIR</t>
  </si>
  <si>
    <t>FIDC ALBAUGH I RESPONSABILIDADE LIM</t>
  </si>
  <si>
    <t>387158</t>
  </si>
  <si>
    <t>FIDC ALOHA I</t>
  </si>
  <si>
    <t>387166</t>
  </si>
  <si>
    <t>FIDC ALOHA II</t>
  </si>
  <si>
    <t>387174</t>
  </si>
  <si>
    <t>FIDC ALOHA III</t>
  </si>
  <si>
    <t>FIDC AMOVERI RESPONSABILIDADE LIMIT</t>
  </si>
  <si>
    <t>FIDC CREDIX 1</t>
  </si>
  <si>
    <t>FIDC EMPRESTA BYX MULTICONSIGNADOS</t>
  </si>
  <si>
    <t>FIDC PICPAY FGTS</t>
  </si>
  <si>
    <t>FRAGATA FUNDO DE INVESTIMENTO EM DI</t>
  </si>
  <si>
    <t>388510</t>
  </si>
  <si>
    <t>386992</t>
  </si>
  <si>
    <t>388618</t>
  </si>
  <si>
    <t>GAMA FUNDO DE INVESTIMENTO FINANCEI</t>
  </si>
  <si>
    <t>GHI CAPITAL FUNDO DE INVESTIMENTO E</t>
  </si>
  <si>
    <t>GUAJUVIRA FUNDO DE INVESTIMENTO EM</t>
  </si>
  <si>
    <t>INOVA CREDTECH III FIDC SEGMENTO MU</t>
  </si>
  <si>
    <t>IRMANDADE DA SANTA CASA DE MISERICO</t>
  </si>
  <si>
    <t>IS GREEN SOLFACIL VI FUNDO DE INVES</t>
  </si>
  <si>
    <t>J17 FGTS FUNDO DE INVESTIMENTO EM D</t>
  </si>
  <si>
    <t>JUSINVEST I - FUNDO DE INVESTIMENTO</t>
  </si>
  <si>
    <t>LIFTCRED FUNDO DE INVESTIMENTO EM D</t>
  </si>
  <si>
    <t>LIMINE TRUST DISTR DE TITULOS E VAL</t>
  </si>
  <si>
    <t>MARCA I FUNDO DE INVESTIMENTO EM DI</t>
  </si>
  <si>
    <t>NC 2025 FUNDO DE INVESTIMENTO EM DI</t>
  </si>
  <si>
    <t>OKLAHOMA FUNDO DE INVESTIMENTO EM D</t>
  </si>
  <si>
    <t>ONIX FUNDO DE INVESTIMENTO EM DIREI</t>
  </si>
  <si>
    <t>384531</t>
  </si>
  <si>
    <t>QUARTZO CAPTALYS FUNDO DE INVESTIME</t>
  </si>
  <si>
    <t>QUARTZO FUNDO DE INVESTIMENTO EM DI</t>
  </si>
  <si>
    <t>RECOVERY LEX FUNDO DE INVESTIMENTO</t>
  </si>
  <si>
    <t>RESIDENCIAL ARBO INCORPORADORA SPE</t>
  </si>
  <si>
    <t>SC 405 INCORPORACAO E CONSTRUCAO SP</t>
  </si>
  <si>
    <t>SDA FUNDO DE INVESTIMENTO EM DIREIT</t>
  </si>
  <si>
    <t>SEJA FUNDO DE INVESTIMENTO EM DIREI</t>
  </si>
  <si>
    <t>SILVER STONE FUNDO DE INVESTIMENTO</t>
  </si>
  <si>
    <t>SIRIUS IV FUNDO DE INVESTIMENTO EM</t>
  </si>
  <si>
    <t>SOLFARMA FUNDO DE INVESTIMENTO EM D</t>
  </si>
  <si>
    <t>TOP 2025 FUNDO DE INVESTIMENTO EM D</t>
  </si>
  <si>
    <t>TRUST FUNDO DE INVESTIMENTO EM DIRE</t>
  </si>
  <si>
    <t>TURQUESA FUNDO DE INVESTIMENTO EM D</t>
  </si>
  <si>
    <t>VELOTAX FUNDO DE INVESTIMENTO EM DI</t>
  </si>
  <si>
    <t>WALL FUNDO DE INVESTIMENTO EM DIREI</t>
  </si>
  <si>
    <t>YUNUS NEGOCIOS SOCIAIS FUNDO DE INV</t>
  </si>
  <si>
    <t>2272</t>
  </si>
  <si>
    <t>FIDC CBANK</t>
  </si>
  <si>
    <t>383985</t>
  </si>
  <si>
    <t>FIDC QUASAR CB</t>
  </si>
  <si>
    <t>383462</t>
  </si>
  <si>
    <t>HDLG FUNDO DE INVESTIMENTO EM DIREI</t>
  </si>
  <si>
    <t>OPI GOOROO FUNDO DE INVESTIMENTO EM</t>
  </si>
  <si>
    <t>386658</t>
  </si>
  <si>
    <t>33953549000150</t>
  </si>
  <si>
    <t>47565632000166</t>
  </si>
  <si>
    <t>47425860000130</t>
  </si>
  <si>
    <t>51313788000127</t>
  </si>
  <si>
    <t>41970148000136</t>
  </si>
  <si>
    <t>58482694000120</t>
  </si>
  <si>
    <t>56069419000154</t>
  </si>
  <si>
    <t>42317295000174</t>
  </si>
  <si>
    <t>58242641000132</t>
  </si>
  <si>
    <t>50791925000176</t>
  </si>
  <si>
    <t>34736565000153</t>
  </si>
  <si>
    <t>47280025000150</t>
  </si>
  <si>
    <t>43104412000184</t>
  </si>
  <si>
    <t>43104450000137</t>
  </si>
  <si>
    <t>43104510000111</t>
  </si>
  <si>
    <t>48213067000130</t>
  </si>
  <si>
    <t>54662156000167</t>
  </si>
  <si>
    <t>58148845000109</t>
  </si>
  <si>
    <t>32459565000128</t>
  </si>
  <si>
    <t>55445774000118</t>
  </si>
  <si>
    <t>59707005000100</t>
  </si>
  <si>
    <t>44479362000182</t>
  </si>
  <si>
    <t>52340225000190</t>
  </si>
  <si>
    <t>57028406000108</t>
  </si>
  <si>
    <t>54252144000164</t>
  </si>
  <si>
    <t>38328747000146</t>
  </si>
  <si>
    <t>45045955000101</t>
  </si>
  <si>
    <t>49466992000136</t>
  </si>
  <si>
    <t>18114024000137</t>
  </si>
  <si>
    <t>57976577000150</t>
  </si>
  <si>
    <t>27635225000170</t>
  </si>
  <si>
    <t>58312065000152</t>
  </si>
  <si>
    <t>24987402000190</t>
  </si>
  <si>
    <t>26000055000195</t>
  </si>
  <si>
    <t>58321970000179</t>
  </si>
  <si>
    <t>57378463000109</t>
  </si>
  <si>
    <t>61052199000196</t>
  </si>
  <si>
    <t>20906292000133</t>
  </si>
  <si>
    <t>27635377000173</t>
  </si>
  <si>
    <t>13327334000116</t>
  </si>
  <si>
    <t>41649863000171</t>
  </si>
  <si>
    <t>49460350000120</t>
  </si>
  <si>
    <t>29330482000120</t>
  </si>
  <si>
    <t>AUTO XI</t>
  </si>
  <si>
    <t>AUTO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</si>
</sst>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2" borderId="0" xfId="0" applyNumberFormat="1" applyFill="1"/>
    <xf numFmtId="0" fontId="0" fillId="2" borderId="0" xfId="0" applyFill="1"/>
    <xf numFmtId="49" fontId="0" fillId="2" borderId="0" xfId="0" quotePrefix="1" applyNumberFormat="1" applyFill="1"/>
    <xf numFmtId="49" fontId="0" fillId="2" borderId="0" xfId="0" applyNumberFormat="1" applyFill="1" applyAlignment="1">
      <alignment horizontal="left"/>
    </xf>
    <xf numFmtId="4" fontId="0" fillId="2" borderId="0" xfId="0" applyNumberFormat="1" applyFill="1"/>
    <xf numFmtId="164" fontId="0" fillId="2" borderId="0" xfId="0" applyNumberFormat="1" applyFill="1"/>
    <xf numFmtId="0" fontId="0" fillId="2" borderId="0" xfId="0" applyFill="1" applyAlignment="1">
      <alignment horizontal="left"/>
    </xf>
    <xf numFmtId="0" fontId="0" fillId="4" borderId="0" xfId="0" applyFill="1"/>
    <xf numFmtId="49" fontId="0" fillId="4" borderId="0" xfId="0" applyNumberFormat="1" applyFill="1"/>
    <xf numFmtId="0" fontId="0" fillId="4" borderId="0" xfId="0" applyFill="1" applyAlignment="1">
      <alignment horizontal="left"/>
    </xf>
    <xf numFmtId="49" fontId="0" fillId="3" borderId="0" xfId="0" applyNumberFormat="1" applyFill="1"/>
    <xf numFmtId="49" fontId="0" fillId="2" borderId="0" xfId="0" applyNumberFormat="1" applyFill="1" applyAlignment="1">
      <alignment horizontal="left" vertical="top"/>
    </xf>
    <xf numFmtId="49" fontId="0" fillId="2" borderId="0" xfId="0" quotePrefix="1" applyNumberFormat="1" applyFill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4" borderId="0" xfId="0" applyFill="1" applyAlignment="1">
      <alignment horizontal="left" vertical="top"/>
    </xf>
    <xf numFmtId="49" fontId="0" fillId="4" borderId="0" xfId="0" applyNumberFormat="1" applyFill="1" applyAlignment="1">
      <alignment horizontal="left" vertical="top"/>
    </xf>
    <xf numFmtId="49" fontId="0" fillId="4" borderId="0" xfId="0" quotePrefix="1" applyNumberFormat="1" applyFill="1" applyAlignment="1">
      <alignment horizontal="left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ustavoPrometti\OneDrive%20-%20Kanastra\Documentos\Kanastra\Planilhas\contas_limine_bancos.xlsx" TargetMode="External"/><Relationship Id="rId1" Type="http://schemas.openxmlformats.org/officeDocument/2006/relationships/externalLinkPath" Target="/personal/gustavo_prometti_kanastra_com_br/Documents/Documentos/Kanastra/Planilhas/contas_limine_banc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NTANDER"/>
      <sheetName val="BRADESCO"/>
      <sheetName val="ITAU"/>
      <sheetName val="ARBI"/>
    </sheetNames>
    <sheetDataSet>
      <sheetData sheetId="0"/>
      <sheetData sheetId="1"/>
      <sheetData sheetId="2"/>
      <sheetData sheetId="3">
        <row r="1">
          <cell r="A1" t="str">
            <v>NOME_FAVORECIDO</v>
          </cell>
          <cell r="D1" t="str">
            <v>CONTA_COM_DIGITO</v>
          </cell>
        </row>
        <row r="2">
          <cell r="A2" t="str">
            <v>AID BANK FUNDO DE INVESTIMENTO EM D</v>
          </cell>
          <cell r="D2">
            <v>386674</v>
          </cell>
        </row>
        <row r="3">
          <cell r="A3" t="str">
            <v>AKIREDE FIDC</v>
          </cell>
          <cell r="D3">
            <v>386771</v>
          </cell>
        </row>
        <row r="4">
          <cell r="A4" t="str">
            <v xml:space="preserve">Albatroz FIDC   </v>
          </cell>
          <cell r="D4">
            <v>381510</v>
          </cell>
        </row>
        <row r="5">
          <cell r="A5" t="str">
            <v>ALPS BANK FUNDO DE INVEST.</v>
          </cell>
          <cell r="D5">
            <v>386852</v>
          </cell>
        </row>
        <row r="6">
          <cell r="A6" t="str">
            <v>AMPLIC FUNDO DE INVESTIMENTO EM DIR</v>
          </cell>
          <cell r="D6">
            <v>381324</v>
          </cell>
        </row>
        <row r="7">
          <cell r="A7" t="str">
            <v>ATIVA FIDC</v>
          </cell>
          <cell r="D7">
            <v>386305</v>
          </cell>
        </row>
        <row r="8">
          <cell r="A8" t="str">
            <v>BOLSA DE CREDITOS FIDC</v>
          </cell>
          <cell r="D8">
            <v>386763</v>
          </cell>
        </row>
        <row r="9">
          <cell r="A9" t="str">
            <v>CLM FIDC</v>
          </cell>
          <cell r="D9">
            <v>383438</v>
          </cell>
        </row>
        <row r="10">
          <cell r="A10" t="str">
            <v>COINVEST FIDC</v>
          </cell>
          <cell r="D10">
            <v>383039</v>
          </cell>
        </row>
        <row r="11">
          <cell r="A11" t="str">
            <v>CPV FIDC</v>
          </cell>
          <cell r="D11">
            <v>384760</v>
          </cell>
        </row>
        <row r="12">
          <cell r="A12" t="str">
            <v>DORO CAPITAL FIDC</v>
          </cell>
          <cell r="D12">
            <v>386712</v>
          </cell>
        </row>
        <row r="13">
          <cell r="A13" t="str">
            <v>EOS FUNDO DE INVESTIMENTO EM DIREITO</v>
          </cell>
          <cell r="D13">
            <v>386810</v>
          </cell>
        </row>
        <row r="14">
          <cell r="A14" t="str">
            <v>FACIO FUNDO DE INVESTIMENTO EM DIRE</v>
          </cell>
          <cell r="D14">
            <v>386895</v>
          </cell>
        </row>
        <row r="15">
          <cell r="A15" t="str">
            <v>FATURE FIDC</v>
          </cell>
          <cell r="D15">
            <v>386330</v>
          </cell>
        </row>
        <row r="16">
          <cell r="A16" t="str">
            <v>FIDC CREDITAS AUTO X  RESPONSABILI</v>
          </cell>
          <cell r="D16">
            <v>386992</v>
          </cell>
        </row>
        <row r="17">
          <cell r="A17" t="str">
            <v>FIDC NAO PADRONIZADOS CREDITAS TEMP</v>
          </cell>
          <cell r="D17">
            <v>386801</v>
          </cell>
        </row>
        <row r="18">
          <cell r="A18" t="str">
            <v>CHILLI BEANS FIDC</v>
          </cell>
          <cell r="D18">
            <v>383985</v>
          </cell>
        </row>
        <row r="19">
          <cell r="A19" t="str">
            <v>HB CAPITAL FUNDO DE INVESTIMENTO EM</v>
          </cell>
          <cell r="D19">
            <v>381596</v>
          </cell>
        </row>
        <row r="20">
          <cell r="A20" t="str">
            <v>HEALTH MERCANTIL FIDC</v>
          </cell>
          <cell r="D20">
            <v>386666</v>
          </cell>
        </row>
        <row r="21">
          <cell r="A21" t="str">
            <v>MENESTYS MULTI ESTRATEGIA FUNDO</v>
          </cell>
          <cell r="D21">
            <v>386569</v>
          </cell>
        </row>
        <row r="22">
          <cell r="A22" t="str">
            <v>MULTIBANK FIDC</v>
          </cell>
          <cell r="D22">
            <v>386534</v>
          </cell>
        </row>
        <row r="23">
          <cell r="A23" t="str">
            <v>NABOA FIDC NP</v>
          </cell>
          <cell r="D23">
            <v>385805</v>
          </cell>
        </row>
        <row r="24">
          <cell r="A24" t="str">
            <v>NETMONEY FIDC</v>
          </cell>
          <cell r="D24">
            <v>386747</v>
          </cell>
        </row>
        <row r="25">
          <cell r="A25" t="str">
            <v>NOBEL II FIDC</v>
          </cell>
          <cell r="D25">
            <v>386798</v>
          </cell>
        </row>
        <row r="26">
          <cell r="A26" t="str">
            <v>GOOROO FIDC</v>
          </cell>
          <cell r="D26">
            <v>386658</v>
          </cell>
        </row>
        <row r="27">
          <cell r="A27" t="str">
            <v>PAGALEVE FUNDO DE INVEST.</v>
          </cell>
          <cell r="D27">
            <v>386283</v>
          </cell>
        </row>
        <row r="28">
          <cell r="A28" t="str">
            <v>PLETORA FUNDO DE INVESTIMENTO EM DI</v>
          </cell>
          <cell r="D28">
            <v>384736</v>
          </cell>
        </row>
        <row r="29">
          <cell r="A29" t="str">
            <v>PRIMEPAG FIDC</v>
          </cell>
          <cell r="D29">
            <v>381855</v>
          </cell>
        </row>
        <row r="30">
          <cell r="A30" t="str">
            <v>TESLA FUNDO DE INVESTIMENTO EM DIRE</v>
          </cell>
          <cell r="D30">
            <v>386836</v>
          </cell>
        </row>
        <row r="31">
          <cell r="A31" t="str">
            <v>URBANO FUNDO DE INVESTIMENTO EM DIR</v>
          </cell>
          <cell r="D31">
            <v>381790</v>
          </cell>
        </row>
        <row r="32">
          <cell r="A32" t="str">
            <v>PRIME FUNDO DE INVESTIMENTO EM DIRE</v>
          </cell>
          <cell r="D32">
            <v>388090</v>
          </cell>
        </row>
        <row r="33">
          <cell r="A33" t="str">
            <v>BANCOR FUNDO DE INVESTIMENTO EM DIR</v>
          </cell>
          <cell r="D33">
            <v>388073</v>
          </cell>
        </row>
        <row r="34">
          <cell r="A34" t="str">
            <v>LABRADOR FUNDO DE INVESTIMENTO EM D</v>
          </cell>
          <cell r="D34">
            <v>388065</v>
          </cell>
        </row>
        <row r="35">
          <cell r="A35" t="str">
            <v>CUB FUNDO DE INVESTIMENTO EM DIREIT</v>
          </cell>
          <cell r="D35">
            <v>387883</v>
          </cell>
        </row>
        <row r="36">
          <cell r="A36" t="str">
            <v>GRANA TECH CREDITO POPULAR FUNDO DE</v>
          </cell>
          <cell r="D36">
            <v>387964</v>
          </cell>
        </row>
        <row r="37">
          <cell r="A37" t="str">
            <v>MOBILITAS FUNDO DE INVESTIMENTO EM</v>
          </cell>
          <cell r="D37">
            <v>387905</v>
          </cell>
        </row>
        <row r="38">
          <cell r="A38" t="str">
            <v>SETTORE CREDITO PRIVADO FUNDO DE IN</v>
          </cell>
          <cell r="D38">
            <v>387867</v>
          </cell>
        </row>
        <row r="39">
          <cell r="A39" t="str">
            <v>AGROCANA FUNDO DE INVESTIMENTO EM D</v>
          </cell>
          <cell r="D39">
            <v>387689</v>
          </cell>
        </row>
        <row r="40">
          <cell r="A40" t="str">
            <v>PRIMATO FUNDO DE INVESTIMENTO EM DI</v>
          </cell>
          <cell r="D40">
            <v>387611</v>
          </cell>
        </row>
        <row r="41">
          <cell r="A41" t="str">
            <v>CITRINO TEMPO CAPTOR (CTC) FUNDO DE</v>
          </cell>
          <cell r="D41">
            <v>3204526</v>
          </cell>
        </row>
        <row r="42">
          <cell r="A42" t="str">
            <v>YELLOW FUNDO DE INVESTIMENTO EM DIR</v>
          </cell>
          <cell r="D42">
            <v>387530</v>
          </cell>
        </row>
        <row r="43">
          <cell r="A43" t="str">
            <v>NSTECH FUNDO DE INVESTIMENTO EM DIR</v>
          </cell>
          <cell r="D43">
            <v>387549</v>
          </cell>
        </row>
        <row r="44">
          <cell r="A44" t="str">
            <v>FIDC AUTO GWM  RESPONSABILIDADE LI</v>
          </cell>
          <cell r="D44">
            <v>387565</v>
          </cell>
        </row>
        <row r="45">
          <cell r="A45" t="str">
            <v>J17 ORION FUNDO DE INVESTIMENTO MUL</v>
          </cell>
          <cell r="D45">
            <v>387522</v>
          </cell>
        </row>
        <row r="46">
          <cell r="A46" t="str">
            <v>TIG FUNDO DE INVESTIMENTO FINANCEIR</v>
          </cell>
          <cell r="D46">
            <v>387379</v>
          </cell>
        </row>
        <row r="47">
          <cell r="A47" t="str">
            <v>INDIE MERX RAIZ I CRÉDITO AGRO FIDC</v>
          </cell>
          <cell r="D47">
            <v>387336</v>
          </cell>
        </row>
        <row r="48">
          <cell r="A48" t="str">
            <v>CREDALUGA FUNDO DE INVESTIMENTO FIN</v>
          </cell>
          <cell r="D48">
            <v>387298</v>
          </cell>
        </row>
        <row r="49">
          <cell r="A49" t="str">
            <v>TRADEMASTER III FIDC  RECEBIVEIS C</v>
          </cell>
          <cell r="D49">
            <v>387247</v>
          </cell>
        </row>
        <row r="50">
          <cell r="A50" t="str">
            <v>NORDE FUNDO DE INVESTIMENTO EM DIRE</v>
          </cell>
          <cell r="D50">
            <v>387255</v>
          </cell>
        </row>
        <row r="51">
          <cell r="A51" t="str">
            <v>MULTIPLO BNK FUNDO DE INVESTIMENTO</v>
          </cell>
          <cell r="D51">
            <v>387115</v>
          </cell>
        </row>
        <row r="52">
          <cell r="A52" t="str">
            <v>KUYPER FUNDO DE INVESTIMENTO EM DIR</v>
          </cell>
          <cell r="D52">
            <v>387085</v>
          </cell>
        </row>
        <row r="53">
          <cell r="A53" t="str">
            <v xml:space="preserve">UNAVANTI </v>
          </cell>
          <cell r="D53">
            <v>383462</v>
          </cell>
        </row>
        <row r="54">
          <cell r="A54" t="str">
            <v>ALBATROZ</v>
          </cell>
          <cell r="D54" t="str">
            <v xml:space="preserve">381510	</v>
          </cell>
        </row>
        <row r="55">
          <cell r="A55" t="str">
            <v>ORION</v>
          </cell>
          <cell r="D55" t="str">
            <v xml:space="preserve">387522	</v>
          </cell>
        </row>
        <row r="56">
          <cell r="A56" t="str">
            <v>METROPOLITANA</v>
          </cell>
          <cell r="D56">
            <v>384329</v>
          </cell>
        </row>
        <row r="57">
          <cell r="A57" t="str">
            <v>NABOA FIDC</v>
          </cell>
          <cell r="D57">
            <v>385805</v>
          </cell>
        </row>
        <row r="58">
          <cell r="A58" t="str">
            <v>ALFA COLLAB</v>
          </cell>
          <cell r="D58">
            <v>385864</v>
          </cell>
        </row>
        <row r="59">
          <cell r="A59" t="str">
            <v>WCAPITAL</v>
          </cell>
          <cell r="D59">
            <v>386232</v>
          </cell>
        </row>
        <row r="60">
          <cell r="A60" t="str">
            <v>GALILEO CONTA VINCULADA</v>
          </cell>
          <cell r="D60">
            <v>386542</v>
          </cell>
        </row>
        <row r="61">
          <cell r="A61" t="str">
            <v>FACTIA</v>
          </cell>
          <cell r="D61">
            <v>386500</v>
          </cell>
        </row>
        <row r="62">
          <cell r="A62" t="str">
            <v>Seven Summits</v>
          </cell>
          <cell r="D62">
            <v>3203554</v>
          </cell>
        </row>
        <row r="63">
          <cell r="A63" t="str">
            <v>CONTBANK FIDC</v>
          </cell>
          <cell r="D63">
            <v>387271</v>
          </cell>
        </row>
        <row r="64">
          <cell r="A64" t="str">
            <v>TIG FUNDO DE INV</v>
          </cell>
          <cell r="D64">
            <v>3203759</v>
          </cell>
        </row>
        <row r="65">
          <cell r="A65" t="str">
            <v>SETTORE</v>
          </cell>
          <cell r="D65">
            <v>3205085</v>
          </cell>
        </row>
        <row r="66">
          <cell r="A66" t="str">
            <v>RECOVERY LEX</v>
          </cell>
          <cell r="D66">
            <v>3205646</v>
          </cell>
        </row>
        <row r="67">
          <cell r="A67" t="str">
            <v>BERILO</v>
          </cell>
          <cell r="D67">
            <v>383420</v>
          </cell>
        </row>
        <row r="68">
          <cell r="A68" t="str">
            <v>BERILO</v>
          </cell>
          <cell r="D68" t="str">
            <v xml:space="preserve">329336	</v>
          </cell>
        </row>
        <row r="69">
          <cell r="A69" t="str">
            <v>FAISCA</v>
          </cell>
          <cell r="D69">
            <v>383470</v>
          </cell>
        </row>
        <row r="70">
          <cell r="A70" t="str">
            <v>FAISCA</v>
          </cell>
          <cell r="D70">
            <v>329220</v>
          </cell>
        </row>
        <row r="71">
          <cell r="A71" t="str">
            <v>JADE FIDC</v>
          </cell>
          <cell r="D71">
            <v>383349</v>
          </cell>
        </row>
        <row r="72">
          <cell r="A72" t="str">
            <v>JADE FIDC</v>
          </cell>
          <cell r="D72">
            <v>3205913</v>
          </cell>
        </row>
        <row r="73">
          <cell r="A73" t="str">
            <v>JASPE FIDC</v>
          </cell>
          <cell r="D73">
            <v>384469</v>
          </cell>
        </row>
        <row r="74">
          <cell r="A74" t="str">
            <v>JASPE FIDC</v>
          </cell>
          <cell r="D74">
            <v>328666</v>
          </cell>
        </row>
        <row r="75">
          <cell r="A75" t="str">
            <v>QUARTZO</v>
          </cell>
          <cell r="D75">
            <v>388260</v>
          </cell>
        </row>
        <row r="76">
          <cell r="A76" t="str">
            <v>QUARTZO</v>
          </cell>
          <cell r="D76" t="str">
            <v xml:space="preserve">3205883	</v>
          </cell>
        </row>
        <row r="77">
          <cell r="A77" t="str">
            <v>QUARTZO</v>
          </cell>
          <cell r="D77">
            <v>329409</v>
          </cell>
        </row>
        <row r="78">
          <cell r="A78" t="str">
            <v>QUARTZO</v>
          </cell>
          <cell r="D78" t="str">
            <v xml:space="preserve">384531	</v>
          </cell>
        </row>
        <row r="79">
          <cell r="A79" t="str">
            <v xml:space="preserve">AGROCANA </v>
          </cell>
          <cell r="D79">
            <v>388383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BD848-68BE-4451-8E96-06977ED370D0}">
  <dimension ref="A1:V126"/>
  <sheetViews>
    <sheetView tabSelected="1" topLeftCell="A52" zoomScaleNormal="100" workbookViewId="0">
      <selection activeCell="A107" activeCellId="1" sqref="A106:XFD106 A107:XFD107"/>
    </sheetView>
  </sheetViews>
  <sheetFormatPr defaultColWidth="9.140625" defaultRowHeight="15" x14ac:dyDescent="0.25"/>
  <cols>
    <col min="1" max="1" width="18.5703125" style="2" bestFit="1" customWidth="1"/>
    <col min="2" max="2" width="23.42578125" style="2" bestFit="1" customWidth="1"/>
    <col min="3" max="3" width="18.85546875" style="2" bestFit="1" customWidth="1"/>
    <col min="4" max="4" width="30" style="7" bestFit="1" customWidth="1"/>
    <col min="5" max="5" width="40.5703125" style="2" bestFit="1" customWidth="1"/>
    <col min="6" max="6" width="25.85546875" style="2" bestFit="1" customWidth="1"/>
    <col min="7" max="7" width="28.5703125" style="2" bestFit="1" customWidth="1"/>
    <col min="8" max="8" width="22" style="2" bestFit="1" customWidth="1"/>
    <col min="9" max="9" width="35.28515625" style="12" bestFit="1" customWidth="1"/>
    <col min="10" max="16384" width="9.140625" style="2"/>
  </cols>
  <sheetData>
    <row r="1" spans="1:22" x14ac:dyDescent="0.25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2" t="s">
        <v>8</v>
      </c>
      <c r="M1" s="1"/>
      <c r="R1" s="3"/>
      <c r="U1" s="3"/>
    </row>
    <row r="2" spans="1:22" x14ac:dyDescent="0.25">
      <c r="A2" s="1" t="s">
        <v>19</v>
      </c>
      <c r="B2" s="1" t="s">
        <v>10</v>
      </c>
      <c r="C2" s="1">
        <v>2271</v>
      </c>
      <c r="D2" s="4">
        <v>130107983</v>
      </c>
      <c r="E2" s="1" t="s">
        <v>20</v>
      </c>
      <c r="F2" s="1" t="s">
        <v>19</v>
      </c>
      <c r="G2" s="1">
        <v>213</v>
      </c>
      <c r="H2" s="1" t="s">
        <v>12</v>
      </c>
      <c r="I2" s="12" t="s">
        <v>21</v>
      </c>
      <c r="M2" s="1"/>
      <c r="R2" s="3"/>
      <c r="U2" s="3"/>
    </row>
    <row r="3" spans="1:22" x14ac:dyDescent="0.25">
      <c r="A3" s="1" t="s">
        <v>48</v>
      </c>
      <c r="B3" s="1" t="s">
        <v>10</v>
      </c>
      <c r="C3" s="1">
        <v>2271</v>
      </c>
      <c r="D3" s="4">
        <v>130116541</v>
      </c>
      <c r="E3" s="1" t="s">
        <v>34</v>
      </c>
      <c r="F3" s="1" t="s">
        <v>48</v>
      </c>
      <c r="G3" s="1">
        <v>213</v>
      </c>
      <c r="H3" s="1" t="s">
        <v>12</v>
      </c>
      <c r="I3" s="13">
        <v>386810</v>
      </c>
      <c r="M3" s="1"/>
      <c r="R3" s="3"/>
      <c r="U3" s="3"/>
    </row>
    <row r="4" spans="1:22" x14ac:dyDescent="0.25">
      <c r="A4" s="1" t="s">
        <v>215</v>
      </c>
      <c r="B4" s="1" t="s">
        <v>10</v>
      </c>
      <c r="C4" s="1" t="s">
        <v>76</v>
      </c>
      <c r="D4" s="7">
        <v>130117542</v>
      </c>
      <c r="E4" s="1" t="s">
        <v>143</v>
      </c>
      <c r="F4" s="1" t="s">
        <v>215</v>
      </c>
      <c r="G4" s="1">
        <v>213</v>
      </c>
      <c r="H4" s="1" t="s">
        <v>12</v>
      </c>
      <c r="I4" s="12">
        <v>388952</v>
      </c>
      <c r="M4" s="1"/>
      <c r="R4" s="3"/>
      <c r="U4" s="3"/>
    </row>
    <row r="5" spans="1:22" x14ac:dyDescent="0.25">
      <c r="A5" s="1" t="s">
        <v>51</v>
      </c>
      <c r="B5" s="1" t="s">
        <v>10</v>
      </c>
      <c r="C5" s="1">
        <v>2271</v>
      </c>
      <c r="D5" s="4">
        <v>130124270</v>
      </c>
      <c r="E5" s="9" t="s">
        <v>42</v>
      </c>
      <c r="F5" s="9" t="s">
        <v>51</v>
      </c>
      <c r="G5" s="9">
        <v>213</v>
      </c>
      <c r="H5" s="9" t="s">
        <v>12</v>
      </c>
      <c r="I5" s="17" t="s">
        <v>61</v>
      </c>
      <c r="M5" s="1"/>
      <c r="R5" s="1"/>
      <c r="U5" s="3"/>
    </row>
    <row r="6" spans="1:22" x14ac:dyDescent="0.25">
      <c r="A6" s="1" t="s">
        <v>46</v>
      </c>
      <c r="B6" s="1" t="s">
        <v>10</v>
      </c>
      <c r="C6" s="1">
        <v>2271</v>
      </c>
      <c r="D6" s="4">
        <v>130126708</v>
      </c>
      <c r="E6" s="1" t="s">
        <v>32</v>
      </c>
      <c r="F6" s="1" t="s">
        <v>46</v>
      </c>
      <c r="G6" s="1">
        <v>213</v>
      </c>
      <c r="H6" s="1" t="s">
        <v>12</v>
      </c>
      <c r="I6" s="13">
        <v>386763</v>
      </c>
      <c r="U6" s="3"/>
    </row>
    <row r="7" spans="1:22" x14ac:dyDescent="0.25">
      <c r="A7" s="1" t="s">
        <v>222</v>
      </c>
      <c r="B7" s="1" t="s">
        <v>10</v>
      </c>
      <c r="C7" s="1" t="s">
        <v>205</v>
      </c>
      <c r="D7" s="7">
        <v>130127266</v>
      </c>
      <c r="E7" s="1" t="s">
        <v>157</v>
      </c>
      <c r="F7" s="1" t="s">
        <v>222</v>
      </c>
      <c r="G7" s="1">
        <v>213</v>
      </c>
      <c r="H7" s="1" t="s">
        <v>12</v>
      </c>
      <c r="I7" s="12" t="s">
        <v>137</v>
      </c>
      <c r="U7" s="3"/>
    </row>
    <row r="8" spans="1:22" x14ac:dyDescent="0.25">
      <c r="A8" s="1" t="s">
        <v>50</v>
      </c>
      <c r="B8" s="1" t="s">
        <v>10</v>
      </c>
      <c r="C8" s="1">
        <v>2271</v>
      </c>
      <c r="D8" s="4">
        <v>130127273</v>
      </c>
      <c r="E8" s="1" t="s">
        <v>38</v>
      </c>
      <c r="F8" s="1" t="s">
        <v>50</v>
      </c>
      <c r="G8" s="1">
        <v>213</v>
      </c>
      <c r="H8" s="1" t="s">
        <v>12</v>
      </c>
      <c r="I8" s="13">
        <v>386569</v>
      </c>
      <c r="U8" s="3"/>
    </row>
    <row r="9" spans="1:22" x14ac:dyDescent="0.25">
      <c r="A9" s="1" t="s">
        <v>58</v>
      </c>
      <c r="B9" s="1" t="s">
        <v>10</v>
      </c>
      <c r="C9" s="1">
        <v>2271</v>
      </c>
      <c r="D9" s="4">
        <v>130127431</v>
      </c>
      <c r="E9" s="1" t="s">
        <v>41</v>
      </c>
      <c r="F9" s="1" t="s">
        <v>58</v>
      </c>
      <c r="G9" s="1">
        <v>213</v>
      </c>
      <c r="H9" s="1" t="s">
        <v>12</v>
      </c>
      <c r="I9" s="13">
        <v>386798</v>
      </c>
      <c r="U9" s="3"/>
    </row>
    <row r="10" spans="1:22" x14ac:dyDescent="0.25">
      <c r="A10" s="1" t="s">
        <v>72</v>
      </c>
      <c r="B10" s="1" t="s">
        <v>10</v>
      </c>
      <c r="C10" s="1">
        <v>2271</v>
      </c>
      <c r="D10" s="4">
        <v>130128418</v>
      </c>
      <c r="E10" s="1" t="s">
        <v>64</v>
      </c>
      <c r="F10" s="1" t="s">
        <v>72</v>
      </c>
      <c r="G10" s="1">
        <v>213</v>
      </c>
      <c r="H10" s="1" t="s">
        <v>12</v>
      </c>
      <c r="I10" s="13">
        <v>386895</v>
      </c>
      <c r="U10" s="3"/>
    </row>
    <row r="11" spans="1:22" x14ac:dyDescent="0.25">
      <c r="A11" s="1" t="s">
        <v>56</v>
      </c>
      <c r="B11" s="1" t="s">
        <v>10</v>
      </c>
      <c r="C11" s="1">
        <v>2271</v>
      </c>
      <c r="D11" s="4">
        <v>130128494</v>
      </c>
      <c r="E11" s="1" t="s">
        <v>39</v>
      </c>
      <c r="F11" s="1" t="s">
        <v>56</v>
      </c>
      <c r="G11" s="1">
        <v>213</v>
      </c>
      <c r="H11" s="1" t="s">
        <v>12</v>
      </c>
      <c r="I11" s="13">
        <v>386534</v>
      </c>
      <c r="U11" s="3"/>
    </row>
    <row r="12" spans="1:22" x14ac:dyDescent="0.25">
      <c r="A12" s="1" t="s">
        <v>52</v>
      </c>
      <c r="B12" s="1" t="s">
        <v>10</v>
      </c>
      <c r="C12" s="1">
        <v>2271</v>
      </c>
      <c r="D12" s="4">
        <v>130128944</v>
      </c>
      <c r="E12" s="1" t="s">
        <v>62</v>
      </c>
      <c r="F12" s="1" t="s">
        <v>52</v>
      </c>
      <c r="G12" s="1">
        <v>213</v>
      </c>
      <c r="H12" s="1" t="s">
        <v>12</v>
      </c>
      <c r="I12" s="13">
        <v>386674</v>
      </c>
      <c r="U12" s="3"/>
    </row>
    <row r="13" spans="1:22" x14ac:dyDescent="0.25">
      <c r="A13" s="1" t="s">
        <v>49</v>
      </c>
      <c r="B13" s="1" t="s">
        <v>10</v>
      </c>
      <c r="C13" s="1">
        <v>2271</v>
      </c>
      <c r="D13" s="4">
        <v>130129268</v>
      </c>
      <c r="E13" s="9" t="s">
        <v>36</v>
      </c>
      <c r="F13" s="9" t="s">
        <v>49</v>
      </c>
      <c r="G13" s="9">
        <v>213</v>
      </c>
      <c r="H13" s="9" t="s">
        <v>12</v>
      </c>
      <c r="I13" s="15" t="s">
        <v>61</v>
      </c>
      <c r="U13" s="3"/>
      <c r="V13" s="5"/>
    </row>
    <row r="14" spans="1:22" x14ac:dyDescent="0.25">
      <c r="A14" s="1" t="s">
        <v>49</v>
      </c>
      <c r="B14" s="1" t="s">
        <v>10</v>
      </c>
      <c r="C14" s="1" t="s">
        <v>76</v>
      </c>
      <c r="D14" s="7">
        <v>130129268</v>
      </c>
      <c r="E14" s="1" t="s">
        <v>211</v>
      </c>
      <c r="F14" s="1" t="s">
        <v>49</v>
      </c>
      <c r="G14" s="1">
        <v>213</v>
      </c>
      <c r="H14" s="1" t="s">
        <v>12</v>
      </c>
      <c r="I14" s="14" t="s">
        <v>212</v>
      </c>
      <c r="U14" s="3"/>
    </row>
    <row r="15" spans="1:22" x14ac:dyDescent="0.25">
      <c r="A15" s="1" t="s">
        <v>70</v>
      </c>
      <c r="B15" s="1" t="s">
        <v>10</v>
      </c>
      <c r="C15" s="1">
        <v>2271</v>
      </c>
      <c r="D15" s="4">
        <v>130131063</v>
      </c>
      <c r="E15" s="1" t="s">
        <v>68</v>
      </c>
      <c r="F15" s="1" t="s">
        <v>70</v>
      </c>
      <c r="G15" s="1" t="s">
        <v>11</v>
      </c>
      <c r="H15" s="1" t="s">
        <v>12</v>
      </c>
      <c r="I15" s="13">
        <v>386836</v>
      </c>
      <c r="U15" s="3"/>
      <c r="V15" s="5"/>
    </row>
    <row r="16" spans="1:22" x14ac:dyDescent="0.25">
      <c r="A16" s="1" t="s">
        <v>47</v>
      </c>
      <c r="B16" s="1" t="s">
        <v>10</v>
      </c>
      <c r="C16" s="1">
        <v>2271</v>
      </c>
      <c r="D16" s="4">
        <v>130131087</v>
      </c>
      <c r="E16" s="1" t="s">
        <v>33</v>
      </c>
      <c r="F16" s="1" t="s">
        <v>47</v>
      </c>
      <c r="G16" s="1">
        <v>213</v>
      </c>
      <c r="H16" s="1" t="s">
        <v>12</v>
      </c>
      <c r="I16" s="13">
        <v>386712</v>
      </c>
      <c r="U16" s="3"/>
    </row>
    <row r="17" spans="1:22" x14ac:dyDescent="0.25">
      <c r="A17" s="1" t="s">
        <v>228</v>
      </c>
      <c r="B17" s="1" t="s">
        <v>10</v>
      </c>
      <c r="C17" s="1" t="s">
        <v>76</v>
      </c>
      <c r="D17" s="7">
        <v>130132923</v>
      </c>
      <c r="E17" s="1" t="s">
        <v>166</v>
      </c>
      <c r="F17" s="1" t="s">
        <v>228</v>
      </c>
      <c r="G17" s="1">
        <v>213</v>
      </c>
      <c r="H17" s="1" t="s">
        <v>12</v>
      </c>
      <c r="I17" s="12">
        <v>388510</v>
      </c>
      <c r="U17" s="3"/>
      <c r="V17" s="5"/>
    </row>
    <row r="18" spans="1:22" x14ac:dyDescent="0.25">
      <c r="A18" s="1" t="s">
        <v>43</v>
      </c>
      <c r="B18" s="1" t="s">
        <v>10</v>
      </c>
      <c r="C18" s="1">
        <v>2271</v>
      </c>
      <c r="D18" s="4">
        <v>130133120</v>
      </c>
      <c r="E18" s="1" t="s">
        <v>29</v>
      </c>
      <c r="F18" s="1" t="s">
        <v>43</v>
      </c>
      <c r="G18" s="1">
        <v>213</v>
      </c>
      <c r="H18" s="1" t="s">
        <v>12</v>
      </c>
      <c r="I18" s="13">
        <v>386771</v>
      </c>
      <c r="U18" s="3"/>
      <c r="V18" s="5"/>
    </row>
    <row r="19" spans="1:22" x14ac:dyDescent="0.25">
      <c r="A19" s="1" t="s">
        <v>59</v>
      </c>
      <c r="B19" s="1" t="s">
        <v>10</v>
      </c>
      <c r="C19" s="1">
        <v>2271</v>
      </c>
      <c r="D19" s="4">
        <v>130135940</v>
      </c>
      <c r="E19" s="1" t="s">
        <v>65</v>
      </c>
      <c r="F19" s="1" t="s">
        <v>59</v>
      </c>
      <c r="G19" s="1">
        <v>213</v>
      </c>
      <c r="H19" s="1" t="s">
        <v>12</v>
      </c>
      <c r="I19" s="13">
        <v>386801</v>
      </c>
      <c r="U19" s="3"/>
    </row>
    <row r="20" spans="1:22" x14ac:dyDescent="0.25">
      <c r="A20" s="1" t="s">
        <v>71</v>
      </c>
      <c r="B20" s="1" t="s">
        <v>10</v>
      </c>
      <c r="C20" s="1">
        <v>2271</v>
      </c>
      <c r="D20" s="4">
        <v>130137784</v>
      </c>
      <c r="E20" s="1" t="s">
        <v>132</v>
      </c>
      <c r="F20" s="1" t="s">
        <v>71</v>
      </c>
      <c r="G20" s="1">
        <v>213</v>
      </c>
      <c r="H20" s="1" t="s">
        <v>12</v>
      </c>
      <c r="I20" s="13">
        <v>386992</v>
      </c>
      <c r="U20" s="3"/>
    </row>
    <row r="21" spans="1:22" x14ac:dyDescent="0.25">
      <c r="A21" s="1" t="s">
        <v>71</v>
      </c>
      <c r="B21" s="1" t="s">
        <v>10</v>
      </c>
      <c r="C21" s="1" t="s">
        <v>76</v>
      </c>
      <c r="D21" s="7">
        <v>130137784</v>
      </c>
      <c r="E21" s="1" t="s">
        <v>257</v>
      </c>
      <c r="F21" s="1"/>
      <c r="G21" s="1">
        <v>213</v>
      </c>
      <c r="H21" s="1" t="s">
        <v>12</v>
      </c>
      <c r="I21" s="14" t="s">
        <v>172</v>
      </c>
      <c r="U21" s="3"/>
    </row>
    <row r="22" spans="1:22" x14ac:dyDescent="0.25">
      <c r="A22" s="1" t="s">
        <v>240</v>
      </c>
      <c r="B22" s="1" t="s">
        <v>10</v>
      </c>
      <c r="C22" s="1" t="s">
        <v>76</v>
      </c>
      <c r="D22" s="7">
        <v>130141550</v>
      </c>
      <c r="E22" s="1" t="s">
        <v>184</v>
      </c>
      <c r="F22" s="1" t="s">
        <v>240</v>
      </c>
      <c r="G22" s="1">
        <v>213</v>
      </c>
      <c r="H22" s="1" t="s">
        <v>12</v>
      </c>
      <c r="I22" s="12">
        <v>388782</v>
      </c>
      <c r="U22" s="3"/>
    </row>
    <row r="23" spans="1:22" x14ac:dyDescent="0.25">
      <c r="A23" s="11"/>
      <c r="B23" s="1" t="s">
        <v>10</v>
      </c>
      <c r="C23" s="1" t="s">
        <v>76</v>
      </c>
      <c r="D23" s="7">
        <v>130143040</v>
      </c>
      <c r="E23" s="1" t="s">
        <v>202</v>
      </c>
      <c r="F23" s="1"/>
      <c r="G23" s="1">
        <v>213</v>
      </c>
      <c r="H23" s="1" t="s">
        <v>12</v>
      </c>
      <c r="I23" s="12" t="s">
        <v>138</v>
      </c>
      <c r="U23" s="3"/>
    </row>
    <row r="24" spans="1:22" x14ac:dyDescent="0.25">
      <c r="A24" s="1" t="s">
        <v>96</v>
      </c>
      <c r="B24" s="1" t="s">
        <v>10</v>
      </c>
      <c r="C24" s="1" t="s">
        <v>76</v>
      </c>
      <c r="D24" s="4">
        <v>130147219</v>
      </c>
      <c r="E24" s="1" t="s">
        <v>79</v>
      </c>
      <c r="F24" s="1" t="s">
        <v>96</v>
      </c>
      <c r="G24" s="1">
        <v>213</v>
      </c>
      <c r="H24" s="1" t="s">
        <v>12</v>
      </c>
      <c r="I24" s="12">
        <v>388065</v>
      </c>
      <c r="U24" s="3"/>
    </row>
    <row r="25" spans="1:22" x14ac:dyDescent="0.25">
      <c r="A25" s="1" t="s">
        <v>236</v>
      </c>
      <c r="B25" s="1" t="s">
        <v>10</v>
      </c>
      <c r="C25" s="1" t="s">
        <v>76</v>
      </c>
      <c r="D25" s="7">
        <v>130155766</v>
      </c>
      <c r="E25" s="1" t="s">
        <v>179</v>
      </c>
      <c r="F25" s="1" t="s">
        <v>236</v>
      </c>
      <c r="G25" s="1">
        <v>213</v>
      </c>
      <c r="H25" s="1" t="s">
        <v>12</v>
      </c>
      <c r="I25" s="12">
        <v>388103</v>
      </c>
      <c r="U25" s="3"/>
    </row>
    <row r="26" spans="1:22" x14ac:dyDescent="0.25">
      <c r="A26" s="1" t="s">
        <v>101</v>
      </c>
      <c r="B26" s="1" t="s">
        <v>10</v>
      </c>
      <c r="C26" s="1" t="s">
        <v>76</v>
      </c>
      <c r="D26" s="7">
        <v>130156774</v>
      </c>
      <c r="E26" s="1" t="s">
        <v>84</v>
      </c>
      <c r="F26" s="1" t="s">
        <v>101</v>
      </c>
      <c r="G26" s="1">
        <v>213</v>
      </c>
      <c r="H26" s="1" t="s">
        <v>12</v>
      </c>
      <c r="I26" s="12">
        <v>388383</v>
      </c>
      <c r="U26" s="3"/>
      <c r="V26" s="5"/>
    </row>
    <row r="27" spans="1:22" x14ac:dyDescent="0.25">
      <c r="A27" s="1" t="s">
        <v>248</v>
      </c>
      <c r="B27" s="1" t="s">
        <v>10</v>
      </c>
      <c r="C27" s="1" t="s">
        <v>76</v>
      </c>
      <c r="D27" s="7">
        <v>130159076</v>
      </c>
      <c r="E27" s="1" t="s">
        <v>198</v>
      </c>
      <c r="F27" s="1" t="s">
        <v>248</v>
      </c>
      <c r="G27" s="1">
        <v>213</v>
      </c>
      <c r="H27" s="1" t="s">
        <v>12</v>
      </c>
      <c r="I27" s="12">
        <v>387891</v>
      </c>
      <c r="U27" s="3"/>
    </row>
    <row r="28" spans="1:22" x14ac:dyDescent="0.25">
      <c r="A28" s="1" t="s">
        <v>95</v>
      </c>
      <c r="B28" s="1" t="s">
        <v>10</v>
      </c>
      <c r="C28" s="1" t="s">
        <v>76</v>
      </c>
      <c r="D28" s="4">
        <v>130161046</v>
      </c>
      <c r="E28" s="1" t="s">
        <v>78</v>
      </c>
      <c r="F28" s="1" t="s">
        <v>95</v>
      </c>
      <c r="G28" s="1">
        <v>213</v>
      </c>
      <c r="H28" s="1" t="s">
        <v>12</v>
      </c>
      <c r="I28" s="12">
        <v>388073</v>
      </c>
      <c r="U28" s="3"/>
    </row>
    <row r="29" spans="1:22" x14ac:dyDescent="0.25">
      <c r="A29" s="1" t="s">
        <v>238</v>
      </c>
      <c r="B29" s="1" t="s">
        <v>10</v>
      </c>
      <c r="C29" s="1" t="s">
        <v>76</v>
      </c>
      <c r="D29" s="7">
        <v>130161888</v>
      </c>
      <c r="E29" s="1" t="s">
        <v>181</v>
      </c>
      <c r="F29" s="1" t="s">
        <v>238</v>
      </c>
      <c r="G29" s="1">
        <v>213</v>
      </c>
      <c r="H29" s="1" t="s">
        <v>12</v>
      </c>
      <c r="I29" s="12">
        <v>388162</v>
      </c>
      <c r="U29" s="3"/>
    </row>
    <row r="30" spans="1:22" x14ac:dyDescent="0.25">
      <c r="A30" s="1" t="s">
        <v>242</v>
      </c>
      <c r="B30" s="1" t="s">
        <v>10</v>
      </c>
      <c r="C30" s="1" t="s">
        <v>76</v>
      </c>
      <c r="D30" s="7">
        <v>130162195</v>
      </c>
      <c r="E30" s="1" t="s">
        <v>186</v>
      </c>
      <c r="F30" s="1" t="s">
        <v>242</v>
      </c>
      <c r="G30" s="1">
        <v>213</v>
      </c>
      <c r="H30" s="1" t="s">
        <v>12</v>
      </c>
      <c r="I30" s="12">
        <v>388626</v>
      </c>
      <c r="U30" s="3"/>
    </row>
    <row r="31" spans="1:22" x14ac:dyDescent="0.25">
      <c r="A31" s="11"/>
      <c r="B31" s="1" t="s">
        <v>10</v>
      </c>
      <c r="C31" s="1" t="s">
        <v>76</v>
      </c>
      <c r="D31" s="7">
        <v>130162542</v>
      </c>
      <c r="E31" s="1" t="s">
        <v>191</v>
      </c>
      <c r="F31" s="1"/>
      <c r="G31" s="1">
        <v>213</v>
      </c>
      <c r="H31" s="1" t="s">
        <v>12</v>
      </c>
      <c r="I31" s="12">
        <v>388219</v>
      </c>
      <c r="U31" s="3"/>
    </row>
    <row r="32" spans="1:22" x14ac:dyDescent="0.25">
      <c r="A32" s="11"/>
      <c r="B32" s="1" t="s">
        <v>10</v>
      </c>
      <c r="C32" s="1" t="s">
        <v>76</v>
      </c>
      <c r="D32" s="7">
        <v>130162937</v>
      </c>
      <c r="E32" s="1" t="s">
        <v>256</v>
      </c>
      <c r="F32" s="1"/>
      <c r="G32" s="1">
        <v>213</v>
      </c>
      <c r="H32" s="1" t="s">
        <v>12</v>
      </c>
      <c r="I32" s="12">
        <v>388235</v>
      </c>
      <c r="U32" s="3"/>
      <c r="V32" s="5"/>
    </row>
    <row r="33" spans="1:21" x14ac:dyDescent="0.25">
      <c r="A33" s="1" t="s">
        <v>220</v>
      </c>
      <c r="B33" s="1" t="s">
        <v>10</v>
      </c>
      <c r="C33" s="1" t="s">
        <v>76</v>
      </c>
      <c r="D33" s="7">
        <v>130163172</v>
      </c>
      <c r="E33" s="1" t="s">
        <v>154</v>
      </c>
      <c r="F33" s="1" t="s">
        <v>220</v>
      </c>
      <c r="G33" s="1">
        <v>213</v>
      </c>
      <c r="H33" s="1" t="s">
        <v>12</v>
      </c>
      <c r="I33" s="12">
        <v>388227</v>
      </c>
      <c r="U33" s="3"/>
    </row>
    <row r="34" spans="1:21" x14ac:dyDescent="0.25">
      <c r="A34" s="1" t="s">
        <v>230</v>
      </c>
      <c r="B34" s="1" t="s">
        <v>10</v>
      </c>
      <c r="C34" s="1" t="s">
        <v>76</v>
      </c>
      <c r="D34" s="7">
        <v>130163237</v>
      </c>
      <c r="E34" s="1" t="s">
        <v>169</v>
      </c>
      <c r="F34" s="1" t="s">
        <v>230</v>
      </c>
      <c r="G34" s="1">
        <v>213</v>
      </c>
      <c r="H34" s="1" t="s">
        <v>12</v>
      </c>
      <c r="I34" s="12">
        <v>388243</v>
      </c>
      <c r="U34" s="3"/>
    </row>
    <row r="35" spans="1:21" x14ac:dyDescent="0.25">
      <c r="A35" s="1" t="s">
        <v>255</v>
      </c>
      <c r="B35" s="1" t="s">
        <v>10</v>
      </c>
      <c r="C35" s="1" t="s">
        <v>76</v>
      </c>
      <c r="D35" s="7">
        <v>130163275</v>
      </c>
      <c r="E35" s="1" t="s">
        <v>204</v>
      </c>
      <c r="F35" s="1" t="s">
        <v>255</v>
      </c>
      <c r="G35" s="1">
        <v>213</v>
      </c>
      <c r="H35" s="1" t="s">
        <v>12</v>
      </c>
      <c r="I35" s="12">
        <v>388286</v>
      </c>
    </row>
    <row r="36" spans="1:21" x14ac:dyDescent="0.25">
      <c r="A36" s="1" t="s">
        <v>221</v>
      </c>
      <c r="B36" s="1" t="s">
        <v>10</v>
      </c>
      <c r="C36" s="1" t="s">
        <v>205</v>
      </c>
      <c r="D36" s="7">
        <v>130163505</v>
      </c>
      <c r="E36" s="1" t="s">
        <v>155</v>
      </c>
      <c r="F36" s="1" t="s">
        <v>221</v>
      </c>
      <c r="G36" s="1">
        <v>213</v>
      </c>
      <c r="H36" s="1" t="s">
        <v>12</v>
      </c>
      <c r="I36" s="12" t="s">
        <v>140</v>
      </c>
    </row>
    <row r="37" spans="1:21" x14ac:dyDescent="0.25">
      <c r="A37" s="11"/>
      <c r="B37" s="1" t="s">
        <v>10</v>
      </c>
      <c r="C37" s="1" t="s">
        <v>76</v>
      </c>
      <c r="D37" s="7">
        <v>130165095</v>
      </c>
      <c r="E37" s="1" t="s">
        <v>174</v>
      </c>
      <c r="F37" s="1"/>
      <c r="G37" s="1">
        <v>213</v>
      </c>
      <c r="H37" s="1" t="s">
        <v>12</v>
      </c>
      <c r="I37" s="12">
        <v>388367</v>
      </c>
    </row>
    <row r="38" spans="1:21" x14ac:dyDescent="0.25">
      <c r="A38" s="1" t="s">
        <v>247</v>
      </c>
      <c r="B38" s="1" t="s">
        <v>10</v>
      </c>
      <c r="C38" s="1" t="s">
        <v>76</v>
      </c>
      <c r="D38" s="7">
        <v>130166807</v>
      </c>
      <c r="E38" s="1" t="s">
        <v>197</v>
      </c>
      <c r="F38" s="1" t="s">
        <v>247</v>
      </c>
      <c r="G38" s="1">
        <v>213</v>
      </c>
      <c r="H38" s="1" t="s">
        <v>12</v>
      </c>
      <c r="I38" s="12">
        <v>388634</v>
      </c>
    </row>
    <row r="39" spans="1:21" x14ac:dyDescent="0.25">
      <c r="A39" s="1" t="s">
        <v>232</v>
      </c>
      <c r="B39" s="1" t="s">
        <v>10</v>
      </c>
      <c r="C39" s="1" t="s">
        <v>76</v>
      </c>
      <c r="D39" s="7">
        <v>130169972</v>
      </c>
      <c r="E39" s="1" t="s">
        <v>170</v>
      </c>
      <c r="F39" s="1" t="s">
        <v>232</v>
      </c>
      <c r="G39" s="1">
        <v>213</v>
      </c>
      <c r="H39" s="1" t="s">
        <v>12</v>
      </c>
      <c r="I39" s="12">
        <v>388529</v>
      </c>
    </row>
    <row r="40" spans="1:21" x14ac:dyDescent="0.25">
      <c r="A40" s="1" t="s">
        <v>103</v>
      </c>
      <c r="B40" s="1" t="s">
        <v>10</v>
      </c>
      <c r="C40" s="1" t="s">
        <v>76</v>
      </c>
      <c r="D40" s="7">
        <v>130172534</v>
      </c>
      <c r="E40" s="1" t="s">
        <v>150</v>
      </c>
      <c r="F40" s="1" t="s">
        <v>103</v>
      </c>
      <c r="G40" s="1">
        <v>213</v>
      </c>
      <c r="H40" s="1" t="s">
        <v>12</v>
      </c>
      <c r="I40" s="12">
        <v>388677</v>
      </c>
    </row>
    <row r="41" spans="1:21" x14ac:dyDescent="0.25">
      <c r="A41" s="1" t="s">
        <v>235</v>
      </c>
      <c r="B41" s="1" t="s">
        <v>10</v>
      </c>
      <c r="C41" s="1" t="s">
        <v>76</v>
      </c>
      <c r="D41" s="7">
        <v>130172778</v>
      </c>
      <c r="E41" s="1" t="s">
        <v>177</v>
      </c>
      <c r="F41" s="1" t="s">
        <v>235</v>
      </c>
      <c r="G41" s="1">
        <v>213</v>
      </c>
      <c r="H41" s="1" t="s">
        <v>12</v>
      </c>
      <c r="I41" s="12">
        <v>388707</v>
      </c>
    </row>
    <row r="42" spans="1:21" x14ac:dyDescent="0.25">
      <c r="A42" s="1" t="s">
        <v>218</v>
      </c>
      <c r="B42" s="1" t="s">
        <v>10</v>
      </c>
      <c r="C42" s="1" t="s">
        <v>76</v>
      </c>
      <c r="D42" s="7">
        <v>130174110</v>
      </c>
      <c r="E42" s="1" t="s">
        <v>148</v>
      </c>
      <c r="F42" s="1" t="s">
        <v>218</v>
      </c>
      <c r="G42" s="1">
        <v>213</v>
      </c>
      <c r="H42" s="1" t="s">
        <v>12</v>
      </c>
      <c r="I42" s="12">
        <v>388758</v>
      </c>
    </row>
    <row r="43" spans="1:21" x14ac:dyDescent="0.25">
      <c r="A43" s="1" t="s">
        <v>253</v>
      </c>
      <c r="B43" s="1" t="s">
        <v>10</v>
      </c>
      <c r="C43" s="1" t="s">
        <v>76</v>
      </c>
      <c r="D43" s="7">
        <v>130175434</v>
      </c>
      <c r="E43" s="1" t="s">
        <v>203</v>
      </c>
      <c r="F43" s="1" t="s">
        <v>253</v>
      </c>
      <c r="G43" s="1">
        <v>213</v>
      </c>
      <c r="H43" s="1" t="s">
        <v>12</v>
      </c>
      <c r="I43" s="12">
        <v>388910</v>
      </c>
    </row>
    <row r="44" spans="1:21" x14ac:dyDescent="0.25">
      <c r="A44" s="1" t="s">
        <v>245</v>
      </c>
      <c r="B44" s="1" t="s">
        <v>10</v>
      </c>
      <c r="C44" s="1" t="s">
        <v>76</v>
      </c>
      <c r="D44" s="7">
        <v>130175582</v>
      </c>
      <c r="E44" s="1" t="s">
        <v>195</v>
      </c>
      <c r="F44" s="1" t="s">
        <v>245</v>
      </c>
      <c r="G44" s="1">
        <v>213</v>
      </c>
      <c r="H44" s="1" t="s">
        <v>12</v>
      </c>
      <c r="I44" s="12">
        <v>388944</v>
      </c>
    </row>
    <row r="45" spans="1:21" x14ac:dyDescent="0.25">
      <c r="A45" s="1" t="s">
        <v>55</v>
      </c>
      <c r="B45" s="1" t="s">
        <v>10</v>
      </c>
      <c r="C45" s="1">
        <v>2271</v>
      </c>
      <c r="D45" s="4">
        <v>130221724</v>
      </c>
      <c r="E45" s="1" t="s">
        <v>66</v>
      </c>
      <c r="F45" s="1" t="s">
        <v>55</v>
      </c>
      <c r="G45" s="1">
        <v>213</v>
      </c>
      <c r="H45" s="1" t="s">
        <v>12</v>
      </c>
      <c r="I45" s="13">
        <v>381596</v>
      </c>
    </row>
    <row r="46" spans="1:21" x14ac:dyDescent="0.25">
      <c r="A46" s="1" t="s">
        <v>9</v>
      </c>
      <c r="B46" s="1" t="s">
        <v>10</v>
      </c>
      <c r="C46" s="1">
        <v>2271</v>
      </c>
      <c r="D46" s="4">
        <v>130221748</v>
      </c>
      <c r="E46" s="1" t="s">
        <v>63</v>
      </c>
      <c r="F46" s="1" t="s">
        <v>9</v>
      </c>
      <c r="G46" s="1">
        <v>213</v>
      </c>
      <c r="H46" s="1" t="s">
        <v>12</v>
      </c>
      <c r="I46" s="13">
        <v>381324</v>
      </c>
    </row>
    <row r="47" spans="1:21" x14ac:dyDescent="0.25">
      <c r="A47" s="1" t="s">
        <v>23</v>
      </c>
      <c r="B47" s="1" t="s">
        <v>10</v>
      </c>
      <c r="C47" s="1">
        <v>2271</v>
      </c>
      <c r="D47" s="4">
        <v>130222402</v>
      </c>
      <c r="E47" s="1" t="s">
        <v>24</v>
      </c>
      <c r="F47" s="1" t="s">
        <v>23</v>
      </c>
      <c r="G47" s="1" t="s">
        <v>11</v>
      </c>
      <c r="H47" s="1" t="s">
        <v>12</v>
      </c>
      <c r="I47" s="12" t="s">
        <v>25</v>
      </c>
    </row>
    <row r="48" spans="1:21" x14ac:dyDescent="0.25">
      <c r="A48" s="1" t="s">
        <v>15</v>
      </c>
      <c r="B48" s="1" t="s">
        <v>10</v>
      </c>
      <c r="C48" s="1">
        <v>2271</v>
      </c>
      <c r="D48" s="4">
        <v>130234427</v>
      </c>
      <c r="E48" s="1" t="s">
        <v>16</v>
      </c>
      <c r="F48" s="1" t="s">
        <v>15</v>
      </c>
      <c r="G48" s="1">
        <v>213</v>
      </c>
      <c r="H48" s="1" t="s">
        <v>12</v>
      </c>
      <c r="I48" s="13">
        <v>383039</v>
      </c>
    </row>
    <row r="49" spans="1:9" x14ac:dyDescent="0.25">
      <c r="A49" s="1" t="s">
        <v>54</v>
      </c>
      <c r="B49" s="1" t="s">
        <v>10</v>
      </c>
      <c r="C49" s="1">
        <v>2271</v>
      </c>
      <c r="D49" s="4">
        <v>130294885</v>
      </c>
      <c r="E49" s="1" t="s">
        <v>37</v>
      </c>
      <c r="F49" s="1" t="s">
        <v>54</v>
      </c>
      <c r="G49" s="1">
        <v>213</v>
      </c>
      <c r="H49" s="1" t="s">
        <v>12</v>
      </c>
      <c r="I49" s="13">
        <v>386666</v>
      </c>
    </row>
    <row r="50" spans="1:9" x14ac:dyDescent="0.25">
      <c r="A50" s="11"/>
      <c r="B50" s="1" t="s">
        <v>10</v>
      </c>
      <c r="C50" s="1" t="s">
        <v>76</v>
      </c>
      <c r="D50" s="7">
        <v>130301345</v>
      </c>
      <c r="E50" s="1" t="s">
        <v>183</v>
      </c>
      <c r="F50" s="1"/>
      <c r="G50" s="1">
        <v>213</v>
      </c>
      <c r="H50" s="1" t="s">
        <v>12</v>
      </c>
      <c r="I50" s="12">
        <v>410014</v>
      </c>
    </row>
    <row r="51" spans="1:9" x14ac:dyDescent="0.25">
      <c r="A51" s="1" t="s">
        <v>216</v>
      </c>
      <c r="B51" s="1" t="s">
        <v>10</v>
      </c>
      <c r="C51" s="1" t="s">
        <v>76</v>
      </c>
      <c r="D51" s="7">
        <v>130313786</v>
      </c>
      <c r="E51" s="1" t="s">
        <v>146</v>
      </c>
      <c r="F51" s="1" t="s">
        <v>216</v>
      </c>
      <c r="G51" s="1">
        <v>213</v>
      </c>
      <c r="H51" s="1" t="s">
        <v>12</v>
      </c>
      <c r="I51" s="12">
        <v>388081</v>
      </c>
    </row>
    <row r="52" spans="1:9" x14ac:dyDescent="0.25">
      <c r="A52" s="1" t="s">
        <v>17</v>
      </c>
      <c r="B52" s="1" t="s">
        <v>10</v>
      </c>
      <c r="C52" s="1">
        <v>2271</v>
      </c>
      <c r="D52" s="4">
        <v>130325653</v>
      </c>
      <c r="E52" s="1" t="s">
        <v>18</v>
      </c>
      <c r="F52" s="1" t="s">
        <v>17</v>
      </c>
      <c r="G52" s="1">
        <v>213</v>
      </c>
      <c r="H52" s="1" t="s">
        <v>12</v>
      </c>
      <c r="I52" s="13">
        <v>384760</v>
      </c>
    </row>
    <row r="53" spans="1:9" x14ac:dyDescent="0.25">
      <c r="A53" s="1" t="s">
        <v>213</v>
      </c>
      <c r="B53" s="1" t="s">
        <v>10</v>
      </c>
      <c r="C53" s="1" t="s">
        <v>76</v>
      </c>
      <c r="D53" s="7">
        <v>130333461</v>
      </c>
      <c r="E53" s="1" t="s">
        <v>145</v>
      </c>
      <c r="F53" s="1" t="s">
        <v>213</v>
      </c>
      <c r="G53" s="1">
        <v>213</v>
      </c>
      <c r="H53" s="1" t="s">
        <v>12</v>
      </c>
      <c r="I53" s="12">
        <v>388022</v>
      </c>
    </row>
    <row r="54" spans="1:9" x14ac:dyDescent="0.25">
      <c r="A54" s="1" t="s">
        <v>60</v>
      </c>
      <c r="B54" s="1" t="s">
        <v>10</v>
      </c>
      <c r="C54" s="1">
        <v>2271</v>
      </c>
      <c r="D54" s="4">
        <v>130364122</v>
      </c>
      <c r="E54" s="1" t="s">
        <v>35</v>
      </c>
      <c r="F54" s="1" t="s">
        <v>60</v>
      </c>
      <c r="G54" s="1">
        <v>213</v>
      </c>
      <c r="H54" s="1" t="s">
        <v>12</v>
      </c>
      <c r="I54" s="13">
        <v>386330</v>
      </c>
    </row>
    <row r="55" spans="1:9" x14ac:dyDescent="0.25">
      <c r="A55" s="1" t="s">
        <v>26</v>
      </c>
      <c r="B55" s="1" t="s">
        <v>10</v>
      </c>
      <c r="C55" s="1">
        <v>2271</v>
      </c>
      <c r="D55" s="4">
        <v>130367462</v>
      </c>
      <c r="E55" s="1" t="s">
        <v>27</v>
      </c>
      <c r="F55" s="1" t="s">
        <v>26</v>
      </c>
      <c r="G55" s="1">
        <v>213</v>
      </c>
      <c r="H55" s="1" t="s">
        <v>12</v>
      </c>
      <c r="I55" s="13">
        <v>383985</v>
      </c>
    </row>
    <row r="56" spans="1:9" x14ac:dyDescent="0.25">
      <c r="A56" s="1" t="s">
        <v>231</v>
      </c>
      <c r="B56" s="1" t="s">
        <v>10</v>
      </c>
      <c r="C56" s="1">
        <v>2271</v>
      </c>
      <c r="D56" s="7">
        <v>130367462</v>
      </c>
      <c r="E56" s="1" t="s">
        <v>208</v>
      </c>
      <c r="F56" s="1" t="s">
        <v>231</v>
      </c>
      <c r="G56" s="1">
        <v>213</v>
      </c>
      <c r="H56" s="1" t="s">
        <v>12</v>
      </c>
      <c r="I56" s="14" t="s">
        <v>207</v>
      </c>
    </row>
    <row r="57" spans="1:9" x14ac:dyDescent="0.25">
      <c r="A57" s="1" t="s">
        <v>214</v>
      </c>
      <c r="B57" s="1" t="s">
        <v>10</v>
      </c>
      <c r="C57" s="1" t="s">
        <v>76</v>
      </c>
      <c r="D57" s="7">
        <v>130415211</v>
      </c>
      <c r="E57" s="1" t="str">
        <f>IFERROR(INDEX([1]ARBI!$A:$A,MATCH(I57,[1]ARBI!$D:$D,0)),"")</f>
        <v>ALFA COLLAB</v>
      </c>
      <c r="F57" s="1" t="s">
        <v>214</v>
      </c>
      <c r="G57" s="1">
        <v>213</v>
      </c>
      <c r="H57" s="1" t="s">
        <v>12</v>
      </c>
      <c r="I57" s="12">
        <v>385864</v>
      </c>
    </row>
    <row r="58" spans="1:9" x14ac:dyDescent="0.25">
      <c r="A58" s="1" t="s">
        <v>44</v>
      </c>
      <c r="B58" s="1" t="s">
        <v>10</v>
      </c>
      <c r="C58" s="1">
        <v>2271</v>
      </c>
      <c r="D58" s="4">
        <v>130415211</v>
      </c>
      <c r="E58" s="1" t="s">
        <v>30</v>
      </c>
      <c r="F58" s="1" t="s">
        <v>44</v>
      </c>
      <c r="G58" s="1">
        <v>213</v>
      </c>
      <c r="H58" s="1" t="s">
        <v>12</v>
      </c>
      <c r="I58" s="13">
        <v>386852</v>
      </c>
    </row>
    <row r="59" spans="1:9" x14ac:dyDescent="0.25">
      <c r="A59" s="11"/>
      <c r="B59" s="1" t="s">
        <v>10</v>
      </c>
      <c r="C59" s="1">
        <v>2271</v>
      </c>
      <c r="D59" s="7">
        <v>130446635</v>
      </c>
      <c r="E59" s="1" t="s">
        <v>210</v>
      </c>
      <c r="F59" s="1"/>
      <c r="G59" s="1">
        <v>213</v>
      </c>
      <c r="H59" s="1" t="s">
        <v>12</v>
      </c>
      <c r="I59" s="14" t="s">
        <v>209</v>
      </c>
    </row>
    <row r="60" spans="1:9" x14ac:dyDescent="0.25">
      <c r="A60" s="1" t="s">
        <v>252</v>
      </c>
      <c r="B60" s="1" t="s">
        <v>10</v>
      </c>
      <c r="C60" s="1" t="s">
        <v>76</v>
      </c>
      <c r="D60" s="7">
        <v>130446635</v>
      </c>
      <c r="E60" s="1" t="str">
        <f>IFERROR(INDEX([1]ARBI!$A:$A,MATCH(I60,[1]ARBI!$D:$D,0)),"")</f>
        <v xml:space="preserve">UNAVANTI </v>
      </c>
      <c r="F60" s="1" t="s">
        <v>252</v>
      </c>
      <c r="G60" s="1">
        <v>213</v>
      </c>
      <c r="H60" s="1" t="s">
        <v>12</v>
      </c>
      <c r="I60" s="12">
        <v>383462</v>
      </c>
    </row>
    <row r="61" spans="1:9" x14ac:dyDescent="0.25">
      <c r="A61" s="1" t="s">
        <v>250</v>
      </c>
      <c r="B61" s="1" t="s">
        <v>10</v>
      </c>
      <c r="C61" s="1" t="s">
        <v>76</v>
      </c>
      <c r="D61" s="7">
        <v>130554787</v>
      </c>
      <c r="E61" s="1" t="s">
        <v>200</v>
      </c>
      <c r="F61" s="1" t="s">
        <v>250</v>
      </c>
      <c r="G61" s="1">
        <v>213</v>
      </c>
      <c r="H61" s="1" t="s">
        <v>12</v>
      </c>
      <c r="I61" s="12">
        <v>388359</v>
      </c>
    </row>
    <row r="62" spans="1:9" x14ac:dyDescent="0.25">
      <c r="A62" s="1" t="s">
        <v>45</v>
      </c>
      <c r="B62" s="1" t="s">
        <v>10</v>
      </c>
      <c r="C62" s="1">
        <v>2271</v>
      </c>
      <c r="D62" s="4">
        <v>130712202</v>
      </c>
      <c r="E62" s="1" t="s">
        <v>31</v>
      </c>
      <c r="F62" s="1" t="s">
        <v>45</v>
      </c>
      <c r="G62" s="1">
        <v>213</v>
      </c>
      <c r="H62" s="1" t="s">
        <v>12</v>
      </c>
      <c r="I62" s="13">
        <v>386305</v>
      </c>
    </row>
    <row r="63" spans="1:9" x14ac:dyDescent="0.25">
      <c r="A63" s="1" t="s">
        <v>13</v>
      </c>
      <c r="B63" s="1" t="s">
        <v>10</v>
      </c>
      <c r="C63" s="1">
        <v>2271</v>
      </c>
      <c r="D63" s="4">
        <v>130779636</v>
      </c>
      <c r="E63" s="1" t="s">
        <v>14</v>
      </c>
      <c r="F63" s="1" t="s">
        <v>13</v>
      </c>
      <c r="G63" s="1">
        <v>213</v>
      </c>
      <c r="H63" s="1" t="s">
        <v>12</v>
      </c>
      <c r="I63" s="13">
        <v>383438</v>
      </c>
    </row>
    <row r="64" spans="1:9" x14ac:dyDescent="0.25">
      <c r="A64" s="1" t="s">
        <v>57</v>
      </c>
      <c r="B64" s="1" t="s">
        <v>10</v>
      </c>
      <c r="C64" s="1">
        <v>2271</v>
      </c>
      <c r="D64" s="4">
        <v>130824509</v>
      </c>
      <c r="E64" s="1" t="s">
        <v>40</v>
      </c>
      <c r="F64" s="1" t="s">
        <v>57</v>
      </c>
      <c r="G64" s="1">
        <v>213</v>
      </c>
      <c r="H64" s="1" t="s">
        <v>12</v>
      </c>
      <c r="I64" s="13">
        <v>386747</v>
      </c>
    </row>
    <row r="65" spans="1:9" x14ac:dyDescent="0.25">
      <c r="A65" s="1" t="s">
        <v>22</v>
      </c>
      <c r="B65" s="1" t="s">
        <v>10</v>
      </c>
      <c r="C65" s="1">
        <v>2271</v>
      </c>
      <c r="D65" s="4">
        <v>130976053</v>
      </c>
      <c r="E65" s="1" t="s">
        <v>67</v>
      </c>
      <c r="F65" s="1" t="s">
        <v>22</v>
      </c>
      <c r="G65" s="1" t="s">
        <v>11</v>
      </c>
      <c r="H65" s="1" t="s">
        <v>12</v>
      </c>
      <c r="I65" s="13">
        <v>384736</v>
      </c>
    </row>
    <row r="66" spans="1:9" x14ac:dyDescent="0.25">
      <c r="A66" s="1" t="s">
        <v>98</v>
      </c>
      <c r="B66" s="1" t="s">
        <v>10</v>
      </c>
      <c r="C66" s="1" t="s">
        <v>76</v>
      </c>
      <c r="D66" s="4" t="s">
        <v>116</v>
      </c>
      <c r="E66" s="1" t="s">
        <v>81</v>
      </c>
      <c r="F66" s="1" t="s">
        <v>98</v>
      </c>
      <c r="G66" s="1">
        <v>213</v>
      </c>
      <c r="H66" s="1" t="s">
        <v>12</v>
      </c>
      <c r="I66" s="12">
        <v>387964</v>
      </c>
    </row>
    <row r="67" spans="1:9" x14ac:dyDescent="0.25">
      <c r="A67" s="1" t="s">
        <v>112</v>
      </c>
      <c r="B67" s="1" t="s">
        <v>10</v>
      </c>
      <c r="C67" s="1" t="s">
        <v>76</v>
      </c>
      <c r="D67" s="4" t="s">
        <v>129</v>
      </c>
      <c r="E67" s="1" t="s">
        <v>92</v>
      </c>
      <c r="F67" s="1" t="s">
        <v>112</v>
      </c>
      <c r="G67" s="1">
        <v>213</v>
      </c>
      <c r="H67" s="1" t="s">
        <v>12</v>
      </c>
      <c r="I67" s="12">
        <v>387255</v>
      </c>
    </row>
    <row r="68" spans="1:9" x14ac:dyDescent="0.25">
      <c r="A68" s="1" t="s">
        <v>113</v>
      </c>
      <c r="B68" s="1" t="s">
        <v>10</v>
      </c>
      <c r="C68" s="1" t="s">
        <v>76</v>
      </c>
      <c r="D68" s="4" t="s">
        <v>130</v>
      </c>
      <c r="E68" s="1" t="s">
        <v>93</v>
      </c>
      <c r="F68" s="1" t="s">
        <v>113</v>
      </c>
      <c r="G68" s="1">
        <v>213</v>
      </c>
      <c r="H68" s="1" t="s">
        <v>12</v>
      </c>
      <c r="I68" s="12">
        <v>387115</v>
      </c>
    </row>
    <row r="69" spans="1:9" x14ac:dyDescent="0.25">
      <c r="A69" s="1" t="s">
        <v>114</v>
      </c>
      <c r="B69" s="1" t="s">
        <v>10</v>
      </c>
      <c r="C69" s="1" t="s">
        <v>76</v>
      </c>
      <c r="D69" s="4" t="s">
        <v>131</v>
      </c>
      <c r="E69" s="1" t="s">
        <v>94</v>
      </c>
      <c r="F69" s="1" t="s">
        <v>114</v>
      </c>
      <c r="G69" s="1">
        <v>213</v>
      </c>
      <c r="H69" s="1" t="s">
        <v>12</v>
      </c>
      <c r="I69" s="12">
        <v>387085</v>
      </c>
    </row>
    <row r="70" spans="1:9" x14ac:dyDescent="0.25">
      <c r="A70" s="1" t="s">
        <v>111</v>
      </c>
      <c r="B70" s="1" t="s">
        <v>10</v>
      </c>
      <c r="C70" s="1" t="s">
        <v>76</v>
      </c>
      <c r="D70" s="4" t="s">
        <v>128</v>
      </c>
      <c r="E70" s="1" t="s">
        <v>134</v>
      </c>
      <c r="F70" s="1" t="s">
        <v>111</v>
      </c>
      <c r="G70" s="1">
        <v>213</v>
      </c>
      <c r="H70" s="1" t="s">
        <v>12</v>
      </c>
      <c r="I70" s="12">
        <v>387247</v>
      </c>
    </row>
    <row r="71" spans="1:9" x14ac:dyDescent="0.25">
      <c r="A71" s="1" t="s">
        <v>110</v>
      </c>
      <c r="B71" s="1" t="s">
        <v>10</v>
      </c>
      <c r="C71" s="1" t="s">
        <v>76</v>
      </c>
      <c r="D71" s="4" t="s">
        <v>127</v>
      </c>
      <c r="E71" s="1" t="s">
        <v>91</v>
      </c>
      <c r="F71" s="1" t="s">
        <v>110</v>
      </c>
      <c r="G71" s="1">
        <v>213</v>
      </c>
      <c r="H71" s="1" t="s">
        <v>12</v>
      </c>
      <c r="I71" s="12">
        <v>387298</v>
      </c>
    </row>
    <row r="72" spans="1:9" x14ac:dyDescent="0.25">
      <c r="A72" s="1" t="s">
        <v>102</v>
      </c>
      <c r="B72" s="1" t="s">
        <v>10</v>
      </c>
      <c r="C72" s="1" t="s">
        <v>76</v>
      </c>
      <c r="D72" s="4" t="s">
        <v>120</v>
      </c>
      <c r="E72" s="1" t="s">
        <v>85</v>
      </c>
      <c r="F72" s="1" t="s">
        <v>102</v>
      </c>
      <c r="G72" s="1">
        <v>213</v>
      </c>
      <c r="H72" s="1" t="s">
        <v>12</v>
      </c>
      <c r="I72" s="12">
        <v>387611</v>
      </c>
    </row>
    <row r="73" spans="1:9" x14ac:dyDescent="0.25">
      <c r="A73" s="1" t="s">
        <v>108</v>
      </c>
      <c r="B73" s="1" t="s">
        <v>10</v>
      </c>
      <c r="C73" s="1" t="s">
        <v>76</v>
      </c>
      <c r="D73" s="4" t="s">
        <v>125</v>
      </c>
      <c r="E73" s="1" t="s">
        <v>89</v>
      </c>
      <c r="F73" s="1" t="s">
        <v>108</v>
      </c>
      <c r="G73" s="1">
        <v>213</v>
      </c>
      <c r="H73" s="1" t="s">
        <v>12</v>
      </c>
      <c r="I73" s="12">
        <v>387379</v>
      </c>
    </row>
    <row r="74" spans="1:9" x14ac:dyDescent="0.25">
      <c r="A74" s="1" t="s">
        <v>109</v>
      </c>
      <c r="B74" s="1" t="s">
        <v>10</v>
      </c>
      <c r="C74" s="1" t="s">
        <v>76</v>
      </c>
      <c r="D74" s="4" t="s">
        <v>126</v>
      </c>
      <c r="E74" s="1" t="s">
        <v>90</v>
      </c>
      <c r="F74" s="1" t="s">
        <v>109</v>
      </c>
      <c r="G74" s="1">
        <v>213</v>
      </c>
      <c r="H74" s="1" t="s">
        <v>12</v>
      </c>
      <c r="I74" s="12">
        <v>387336</v>
      </c>
    </row>
    <row r="75" spans="1:9" x14ac:dyDescent="0.25">
      <c r="A75" s="1" t="s">
        <v>104</v>
      </c>
      <c r="B75" s="1" t="s">
        <v>10</v>
      </c>
      <c r="C75" s="1" t="s">
        <v>76</v>
      </c>
      <c r="D75" s="4" t="s">
        <v>121</v>
      </c>
      <c r="E75" s="1" t="s">
        <v>86</v>
      </c>
      <c r="F75" s="1" t="s">
        <v>104</v>
      </c>
      <c r="G75" s="1">
        <v>213</v>
      </c>
      <c r="H75" s="1" t="s">
        <v>12</v>
      </c>
      <c r="I75" s="12">
        <v>387530</v>
      </c>
    </row>
    <row r="76" spans="1:9" x14ac:dyDescent="0.25">
      <c r="A76" s="1" t="s">
        <v>106</v>
      </c>
      <c r="B76" s="1" t="s">
        <v>10</v>
      </c>
      <c r="C76" s="1" t="s">
        <v>76</v>
      </c>
      <c r="D76" s="4" t="s">
        <v>123</v>
      </c>
      <c r="E76" s="1" t="s">
        <v>133</v>
      </c>
      <c r="F76" s="1" t="s">
        <v>106</v>
      </c>
      <c r="G76" s="1">
        <v>213</v>
      </c>
      <c r="H76" s="1" t="s">
        <v>12</v>
      </c>
      <c r="I76" s="12">
        <v>387565</v>
      </c>
    </row>
    <row r="77" spans="1:9" x14ac:dyDescent="0.25">
      <c r="A77" s="1" t="s">
        <v>105</v>
      </c>
      <c r="B77" s="1" t="s">
        <v>10</v>
      </c>
      <c r="C77" s="1" t="s">
        <v>76</v>
      </c>
      <c r="D77" s="4" t="s">
        <v>122</v>
      </c>
      <c r="E77" s="1" t="s">
        <v>87</v>
      </c>
      <c r="F77" s="1" t="s">
        <v>105</v>
      </c>
      <c r="G77" s="1">
        <v>213</v>
      </c>
      <c r="H77" s="1" t="s">
        <v>12</v>
      </c>
      <c r="I77" s="12">
        <v>387549</v>
      </c>
    </row>
    <row r="78" spans="1:9" x14ac:dyDescent="0.25">
      <c r="A78" s="1" t="s">
        <v>101</v>
      </c>
      <c r="B78" s="1" t="s">
        <v>10</v>
      </c>
      <c r="C78" s="1" t="s">
        <v>76</v>
      </c>
      <c r="D78" s="4" t="s">
        <v>119</v>
      </c>
      <c r="E78" s="1" t="s">
        <v>84</v>
      </c>
      <c r="F78" s="1" t="s">
        <v>101</v>
      </c>
      <c r="G78" s="1">
        <v>213</v>
      </c>
      <c r="H78" s="1" t="s">
        <v>12</v>
      </c>
      <c r="I78" s="12">
        <v>387689</v>
      </c>
    </row>
    <row r="79" spans="1:9" x14ac:dyDescent="0.25">
      <c r="A79" s="1" t="s">
        <v>100</v>
      </c>
      <c r="B79" s="1" t="s">
        <v>10</v>
      </c>
      <c r="C79" s="1" t="s">
        <v>76</v>
      </c>
      <c r="D79" s="4" t="s">
        <v>118</v>
      </c>
      <c r="E79" s="1" t="s">
        <v>83</v>
      </c>
      <c r="F79" s="1" t="s">
        <v>100</v>
      </c>
      <c r="G79" s="1">
        <v>213</v>
      </c>
      <c r="H79" s="1" t="s">
        <v>12</v>
      </c>
      <c r="I79" s="12">
        <v>387867</v>
      </c>
    </row>
    <row r="80" spans="1:9" x14ac:dyDescent="0.25">
      <c r="A80" s="1" t="s">
        <v>97</v>
      </c>
      <c r="B80" s="1" t="s">
        <v>10</v>
      </c>
      <c r="C80" s="1" t="s">
        <v>76</v>
      </c>
      <c r="D80" s="4" t="s">
        <v>115</v>
      </c>
      <c r="E80" s="1" t="s">
        <v>80</v>
      </c>
      <c r="F80" s="1" t="s">
        <v>97</v>
      </c>
      <c r="G80" s="1">
        <v>213</v>
      </c>
      <c r="H80" s="1" t="s">
        <v>12</v>
      </c>
      <c r="I80" s="12">
        <v>387883</v>
      </c>
    </row>
    <row r="81" spans="1:9" x14ac:dyDescent="0.25">
      <c r="A81" s="1" t="s">
        <v>99</v>
      </c>
      <c r="B81" s="1" t="s">
        <v>10</v>
      </c>
      <c r="C81" s="1" t="s">
        <v>76</v>
      </c>
      <c r="D81" s="4" t="s">
        <v>117</v>
      </c>
      <c r="E81" s="1" t="s">
        <v>82</v>
      </c>
      <c r="F81" s="1" t="s">
        <v>99</v>
      </c>
      <c r="G81" s="1">
        <v>213</v>
      </c>
      <c r="H81" s="1" t="s">
        <v>12</v>
      </c>
      <c r="I81" s="12">
        <v>387905</v>
      </c>
    </row>
    <row r="82" spans="1:9" x14ac:dyDescent="0.25">
      <c r="A82" s="1" t="s">
        <v>28</v>
      </c>
      <c r="B82" s="1" t="s">
        <v>10</v>
      </c>
      <c r="C82" s="1">
        <v>2271</v>
      </c>
      <c r="D82" s="4" t="s">
        <v>73</v>
      </c>
      <c r="E82" s="1" t="s">
        <v>69</v>
      </c>
      <c r="F82" s="1" t="s">
        <v>28</v>
      </c>
      <c r="G82" s="1" t="s">
        <v>11</v>
      </c>
      <c r="H82" s="1" t="s">
        <v>12</v>
      </c>
      <c r="I82" s="13">
        <v>381790</v>
      </c>
    </row>
    <row r="83" spans="1:9" x14ac:dyDescent="0.25">
      <c r="A83" s="1" t="s">
        <v>53</v>
      </c>
      <c r="B83" s="1" t="s">
        <v>10</v>
      </c>
      <c r="C83" s="1">
        <v>2271</v>
      </c>
      <c r="D83" s="4" t="s">
        <v>135</v>
      </c>
      <c r="E83" s="1" t="s">
        <v>29</v>
      </c>
      <c r="F83" s="1" t="s">
        <v>53</v>
      </c>
      <c r="G83" s="1">
        <v>213</v>
      </c>
      <c r="H83" s="1" t="s">
        <v>12</v>
      </c>
      <c r="I83" s="13">
        <v>381510</v>
      </c>
    </row>
    <row r="84" spans="1:9" x14ac:dyDescent="0.25">
      <c r="A84" s="1" t="s">
        <v>107</v>
      </c>
      <c r="B84" s="1" t="s">
        <v>10</v>
      </c>
      <c r="C84" s="1" t="s">
        <v>76</v>
      </c>
      <c r="D84" s="4" t="s">
        <v>124</v>
      </c>
      <c r="E84" s="1" t="s">
        <v>88</v>
      </c>
      <c r="F84" s="1" t="s">
        <v>107</v>
      </c>
      <c r="G84" s="1">
        <v>213</v>
      </c>
      <c r="H84" s="1" t="s">
        <v>12</v>
      </c>
      <c r="I84" s="12">
        <v>387522</v>
      </c>
    </row>
    <row r="85" spans="1:9" x14ac:dyDescent="0.25">
      <c r="A85" s="1" t="s">
        <v>75</v>
      </c>
      <c r="B85" s="1" t="s">
        <v>10</v>
      </c>
      <c r="C85" s="1" t="s">
        <v>76</v>
      </c>
      <c r="D85" s="4" t="s">
        <v>77</v>
      </c>
      <c r="E85" s="1" t="s">
        <v>74</v>
      </c>
      <c r="F85" s="1" t="s">
        <v>75</v>
      </c>
      <c r="G85" s="1">
        <v>213</v>
      </c>
      <c r="H85" s="1" t="s">
        <v>12</v>
      </c>
      <c r="I85" s="12">
        <v>388090</v>
      </c>
    </row>
    <row r="86" spans="1:9" s="8" customFormat="1" x14ac:dyDescent="0.25">
      <c r="B86" s="9" t="s">
        <v>10</v>
      </c>
      <c r="C86" s="9" t="s">
        <v>76</v>
      </c>
      <c r="D86" s="10"/>
      <c r="E86" s="9" t="s">
        <v>144</v>
      </c>
      <c r="G86" s="9">
        <v>213</v>
      </c>
      <c r="H86" s="9" t="s">
        <v>12</v>
      </c>
      <c r="I86" s="16">
        <v>384531</v>
      </c>
    </row>
    <row r="87" spans="1:9" s="8" customFormat="1" x14ac:dyDescent="0.25">
      <c r="A87" s="9" t="s">
        <v>217</v>
      </c>
      <c r="B87" s="9" t="s">
        <v>10</v>
      </c>
      <c r="C87" s="9" t="s">
        <v>76</v>
      </c>
      <c r="D87" s="10"/>
      <c r="E87" s="9" t="s">
        <v>147</v>
      </c>
      <c r="F87" s="9" t="s">
        <v>217</v>
      </c>
      <c r="G87" s="9">
        <v>213</v>
      </c>
      <c r="H87" s="9" t="s">
        <v>12</v>
      </c>
      <c r="I87" s="16">
        <v>383420</v>
      </c>
    </row>
    <row r="88" spans="1:9" s="8" customFormat="1" x14ac:dyDescent="0.25">
      <c r="A88" s="9"/>
      <c r="B88" s="9" t="s">
        <v>10</v>
      </c>
      <c r="C88" s="9" t="s">
        <v>76</v>
      </c>
      <c r="D88" s="10"/>
      <c r="E88" s="9" t="s">
        <v>149</v>
      </c>
      <c r="F88" s="9"/>
      <c r="G88" s="9">
        <v>213</v>
      </c>
      <c r="H88" s="9" t="s">
        <v>12</v>
      </c>
      <c r="I88" s="16">
        <v>3728290</v>
      </c>
    </row>
    <row r="89" spans="1:9" s="8" customFormat="1" x14ac:dyDescent="0.25">
      <c r="A89" s="9" t="s">
        <v>219</v>
      </c>
      <c r="B89" s="9" t="s">
        <v>10</v>
      </c>
      <c r="C89" s="9" t="s">
        <v>76</v>
      </c>
      <c r="D89" s="10"/>
      <c r="E89" s="9" t="s">
        <v>151</v>
      </c>
      <c r="F89" s="9" t="s">
        <v>219</v>
      </c>
      <c r="G89" s="9">
        <v>213</v>
      </c>
      <c r="H89" s="9" t="s">
        <v>12</v>
      </c>
      <c r="I89" s="16">
        <v>388685</v>
      </c>
    </row>
    <row r="90" spans="1:9" s="8" customFormat="1" x14ac:dyDescent="0.25">
      <c r="A90" s="9" t="s">
        <v>214</v>
      </c>
      <c r="B90" s="9" t="s">
        <v>10</v>
      </c>
      <c r="C90" s="9" t="s">
        <v>205</v>
      </c>
      <c r="D90" s="10"/>
      <c r="E90" s="9" t="s">
        <v>153</v>
      </c>
      <c r="F90" s="9" t="s">
        <v>214</v>
      </c>
      <c r="G90" s="9">
        <v>213</v>
      </c>
      <c r="H90" s="9" t="s">
        <v>12</v>
      </c>
      <c r="I90" s="15" t="s">
        <v>152</v>
      </c>
    </row>
    <row r="91" spans="1:9" s="8" customFormat="1" x14ac:dyDescent="0.25">
      <c r="A91" s="9"/>
      <c r="B91" s="9" t="s">
        <v>10</v>
      </c>
      <c r="C91" s="9" t="s">
        <v>76</v>
      </c>
      <c r="D91" s="10"/>
      <c r="E91" s="9" t="s">
        <v>156</v>
      </c>
      <c r="F91" s="9"/>
      <c r="G91" s="9">
        <v>213</v>
      </c>
      <c r="H91" s="9" t="s">
        <v>12</v>
      </c>
      <c r="I91" s="16" t="s">
        <v>142</v>
      </c>
    </row>
    <row r="92" spans="1:9" s="8" customFormat="1" x14ac:dyDescent="0.25">
      <c r="A92" s="9" t="s">
        <v>223</v>
      </c>
      <c r="B92" s="9" t="s">
        <v>10</v>
      </c>
      <c r="C92" s="9" t="s">
        <v>76</v>
      </c>
      <c r="D92" s="10"/>
      <c r="E92" s="9" t="s">
        <v>158</v>
      </c>
      <c r="F92" s="9" t="s">
        <v>223</v>
      </c>
      <c r="G92" s="9">
        <v>213</v>
      </c>
      <c r="H92" s="9" t="s">
        <v>12</v>
      </c>
      <c r="I92" s="16" t="s">
        <v>136</v>
      </c>
    </row>
    <row r="93" spans="1:9" s="8" customFormat="1" x14ac:dyDescent="0.25">
      <c r="A93" s="9" t="s">
        <v>224</v>
      </c>
      <c r="B93" s="9" t="s">
        <v>10</v>
      </c>
      <c r="C93" s="9" t="s">
        <v>205</v>
      </c>
      <c r="D93" s="10"/>
      <c r="E93" s="9" t="s">
        <v>159</v>
      </c>
      <c r="F93" s="9" t="s">
        <v>224</v>
      </c>
      <c r="G93" s="9">
        <v>213</v>
      </c>
      <c r="H93" s="9" t="s">
        <v>12</v>
      </c>
      <c r="I93" s="16">
        <v>388618</v>
      </c>
    </row>
    <row r="94" spans="1:9" s="8" customFormat="1" x14ac:dyDescent="0.25">
      <c r="A94" s="9" t="s">
        <v>225</v>
      </c>
      <c r="B94" s="9" t="s">
        <v>10</v>
      </c>
      <c r="C94" s="9" t="s">
        <v>76</v>
      </c>
      <c r="D94" s="10"/>
      <c r="E94" s="9" t="s">
        <v>161</v>
      </c>
      <c r="F94" s="9" t="s">
        <v>225</v>
      </c>
      <c r="G94" s="9">
        <v>213</v>
      </c>
      <c r="H94" s="9" t="s">
        <v>12</v>
      </c>
      <c r="I94" s="15" t="s">
        <v>160</v>
      </c>
    </row>
    <row r="95" spans="1:9" s="8" customFormat="1" x14ac:dyDescent="0.25">
      <c r="A95" s="9" t="s">
        <v>226</v>
      </c>
      <c r="B95" s="9" t="s">
        <v>10</v>
      </c>
      <c r="C95" s="9" t="s">
        <v>76</v>
      </c>
      <c r="D95" s="10"/>
      <c r="E95" s="9" t="s">
        <v>163</v>
      </c>
      <c r="F95" s="9" t="s">
        <v>226</v>
      </c>
      <c r="G95" s="9">
        <v>213</v>
      </c>
      <c r="H95" s="9" t="s">
        <v>12</v>
      </c>
      <c r="I95" s="15" t="s">
        <v>162</v>
      </c>
    </row>
    <row r="96" spans="1:9" s="8" customFormat="1" x14ac:dyDescent="0.25">
      <c r="A96" s="9" t="s">
        <v>227</v>
      </c>
      <c r="B96" s="9" t="s">
        <v>10</v>
      </c>
      <c r="C96" s="9" t="s">
        <v>76</v>
      </c>
      <c r="D96" s="10"/>
      <c r="E96" s="9" t="s">
        <v>165</v>
      </c>
      <c r="F96" s="9" t="s">
        <v>227</v>
      </c>
      <c r="G96" s="9">
        <v>213</v>
      </c>
      <c r="H96" s="9" t="s">
        <v>12</v>
      </c>
      <c r="I96" s="15" t="s">
        <v>164</v>
      </c>
    </row>
    <row r="97" spans="1:9" s="8" customFormat="1" x14ac:dyDescent="0.25">
      <c r="A97" s="9"/>
      <c r="B97" s="9" t="s">
        <v>10</v>
      </c>
      <c r="C97" s="9" t="s">
        <v>76</v>
      </c>
      <c r="D97" s="10"/>
      <c r="E97" s="9" t="s">
        <v>206</v>
      </c>
      <c r="F97" s="9"/>
      <c r="G97" s="9">
        <v>213</v>
      </c>
      <c r="H97" s="9" t="s">
        <v>12</v>
      </c>
      <c r="I97" s="16">
        <v>387271</v>
      </c>
    </row>
    <row r="98" spans="1:9" s="8" customFormat="1" x14ac:dyDescent="0.25">
      <c r="A98" s="9"/>
      <c r="B98" s="9" t="s">
        <v>10</v>
      </c>
      <c r="C98" s="9" t="s">
        <v>76</v>
      </c>
      <c r="D98" s="10"/>
      <c r="E98" s="9" t="s">
        <v>167</v>
      </c>
      <c r="F98" s="9"/>
      <c r="G98" s="9">
        <v>213</v>
      </c>
      <c r="H98" s="9" t="s">
        <v>12</v>
      </c>
      <c r="I98" s="16">
        <v>387190</v>
      </c>
    </row>
    <row r="99" spans="1:9" s="8" customFormat="1" x14ac:dyDescent="0.25">
      <c r="A99" s="9" t="s">
        <v>229</v>
      </c>
      <c r="B99" s="9" t="s">
        <v>10</v>
      </c>
      <c r="C99" s="9" t="s">
        <v>76</v>
      </c>
      <c r="D99" s="10"/>
      <c r="E99" s="9" t="s">
        <v>168</v>
      </c>
      <c r="F99" s="9" t="s">
        <v>229</v>
      </c>
      <c r="G99" s="9">
        <v>213</v>
      </c>
      <c r="H99" s="9" t="s">
        <v>12</v>
      </c>
      <c r="I99" s="16">
        <v>387280</v>
      </c>
    </row>
    <row r="100" spans="1:9" s="8" customFormat="1" x14ac:dyDescent="0.25">
      <c r="A100" s="9"/>
      <c r="B100" s="9" t="s">
        <v>10</v>
      </c>
      <c r="C100" s="9" t="s">
        <v>76</v>
      </c>
      <c r="D100" s="10"/>
      <c r="E100" s="9" t="s">
        <v>166</v>
      </c>
      <c r="F100" s="9"/>
      <c r="G100" s="9">
        <v>213</v>
      </c>
      <c r="H100" s="9" t="s">
        <v>12</v>
      </c>
      <c r="I100" s="15" t="s">
        <v>171</v>
      </c>
    </row>
    <row r="101" spans="1:9" s="8" customFormat="1" x14ac:dyDescent="0.25">
      <c r="A101" s="9"/>
      <c r="B101" s="9" t="s">
        <v>10</v>
      </c>
      <c r="C101" s="9" t="s">
        <v>76</v>
      </c>
      <c r="D101" s="10"/>
      <c r="E101" s="9" t="s">
        <v>159</v>
      </c>
      <c r="F101" s="9"/>
      <c r="G101" s="9">
        <v>213</v>
      </c>
      <c r="H101" s="9" t="s">
        <v>12</v>
      </c>
      <c r="I101" s="15" t="s">
        <v>173</v>
      </c>
    </row>
    <row r="102" spans="1:9" s="8" customFormat="1" x14ac:dyDescent="0.25">
      <c r="A102" s="9" t="s">
        <v>233</v>
      </c>
      <c r="B102" s="9" t="s">
        <v>10</v>
      </c>
      <c r="C102" s="9" t="s">
        <v>76</v>
      </c>
      <c r="D102" s="10"/>
      <c r="E102" s="9" t="s">
        <v>175</v>
      </c>
      <c r="F102" s="9" t="s">
        <v>233</v>
      </c>
      <c r="G102" s="9">
        <v>213</v>
      </c>
      <c r="H102" s="9" t="s">
        <v>12</v>
      </c>
      <c r="I102" s="16">
        <v>388588</v>
      </c>
    </row>
    <row r="103" spans="1:9" s="8" customFormat="1" x14ac:dyDescent="0.25">
      <c r="A103" s="9" t="s">
        <v>234</v>
      </c>
      <c r="B103" s="9" t="s">
        <v>10</v>
      </c>
      <c r="C103" s="9" t="s">
        <v>76</v>
      </c>
      <c r="D103" s="10"/>
      <c r="E103" s="9" t="s">
        <v>176</v>
      </c>
      <c r="F103" s="9" t="s">
        <v>234</v>
      </c>
      <c r="G103" s="9">
        <v>213</v>
      </c>
      <c r="H103" s="9" t="s">
        <v>12</v>
      </c>
      <c r="I103" s="16">
        <v>387344</v>
      </c>
    </row>
    <row r="104" spans="1:9" s="8" customFormat="1" x14ac:dyDescent="0.25">
      <c r="A104" s="9"/>
      <c r="B104" s="9" t="s">
        <v>10</v>
      </c>
      <c r="C104" s="9" t="s">
        <v>76</v>
      </c>
      <c r="D104" s="10"/>
      <c r="E104" s="9" t="s">
        <v>178</v>
      </c>
      <c r="F104" s="9"/>
      <c r="G104" s="9">
        <v>213</v>
      </c>
      <c r="H104" s="9" t="s">
        <v>12</v>
      </c>
      <c r="I104" s="16">
        <v>3722810</v>
      </c>
    </row>
    <row r="105" spans="1:9" s="8" customFormat="1" x14ac:dyDescent="0.25">
      <c r="A105" s="9" t="s">
        <v>237</v>
      </c>
      <c r="B105" s="9" t="s">
        <v>10</v>
      </c>
      <c r="C105" s="9" t="s">
        <v>76</v>
      </c>
      <c r="D105" s="10"/>
      <c r="E105" s="9" t="s">
        <v>180</v>
      </c>
      <c r="F105" s="9" t="s">
        <v>237</v>
      </c>
      <c r="G105" s="9">
        <v>213</v>
      </c>
      <c r="H105" s="9" t="s">
        <v>12</v>
      </c>
      <c r="I105" s="16">
        <v>387476</v>
      </c>
    </row>
    <row r="106" spans="1:9" s="8" customFormat="1" x14ac:dyDescent="0.25">
      <c r="A106" s="9" t="s">
        <v>239</v>
      </c>
      <c r="B106" s="9" t="s">
        <v>10</v>
      </c>
      <c r="C106" s="9" t="s">
        <v>76</v>
      </c>
      <c r="D106" s="10"/>
      <c r="E106" s="9" t="s">
        <v>182</v>
      </c>
      <c r="F106" s="9" t="s">
        <v>239</v>
      </c>
      <c r="G106" s="9">
        <v>213</v>
      </c>
      <c r="H106" s="9" t="s">
        <v>12</v>
      </c>
      <c r="I106" s="16">
        <v>385112</v>
      </c>
    </row>
    <row r="107" spans="1:9" s="8" customFormat="1" x14ac:dyDescent="0.25">
      <c r="A107" s="9" t="s">
        <v>241</v>
      </c>
      <c r="B107" s="9" t="s">
        <v>10</v>
      </c>
      <c r="C107" s="9" t="s">
        <v>76</v>
      </c>
      <c r="D107" s="10"/>
      <c r="E107" s="9" t="str">
        <f>IFERROR(INDEX([1]ARBI!$A:$A,MATCH(I107,[1]ARBI!$D:$D,0)),"")</f>
        <v>METROPOLITANA</v>
      </c>
      <c r="F107" s="9" t="s">
        <v>241</v>
      </c>
      <c r="G107" s="9">
        <v>213</v>
      </c>
      <c r="H107" s="9" t="s">
        <v>12</v>
      </c>
      <c r="I107" s="16">
        <v>384329</v>
      </c>
    </row>
    <row r="108" spans="1:9" s="8" customFormat="1" x14ac:dyDescent="0.25">
      <c r="A108" s="9"/>
      <c r="B108" s="9" t="s">
        <v>10</v>
      </c>
      <c r="C108" s="9" t="s">
        <v>76</v>
      </c>
      <c r="D108" s="10"/>
      <c r="E108" s="9" t="s">
        <v>185</v>
      </c>
      <c r="F108" s="9"/>
      <c r="G108" s="9">
        <v>213</v>
      </c>
      <c r="H108" s="9" t="s">
        <v>12</v>
      </c>
      <c r="I108" s="16" t="s">
        <v>141</v>
      </c>
    </row>
    <row r="109" spans="1:9" s="8" customFormat="1" x14ac:dyDescent="0.25">
      <c r="A109" s="9" t="s">
        <v>243</v>
      </c>
      <c r="B109" s="9" t="s">
        <v>10</v>
      </c>
      <c r="C109" s="9" t="s">
        <v>76</v>
      </c>
      <c r="D109" s="10"/>
      <c r="E109" s="9" t="s">
        <v>187</v>
      </c>
      <c r="F109" s="9" t="s">
        <v>243</v>
      </c>
      <c r="G109" s="9">
        <v>213</v>
      </c>
      <c r="H109" s="9" t="s">
        <v>12</v>
      </c>
      <c r="I109" s="16">
        <v>388251</v>
      </c>
    </row>
    <row r="110" spans="1:9" s="8" customFormat="1" x14ac:dyDescent="0.25">
      <c r="A110" s="9"/>
      <c r="B110" s="9" t="s">
        <v>10</v>
      </c>
      <c r="C110" s="9" t="s">
        <v>76</v>
      </c>
      <c r="D110" s="10"/>
      <c r="E110" s="9" t="s">
        <v>189</v>
      </c>
      <c r="F110" s="9"/>
      <c r="G110" s="9">
        <v>213</v>
      </c>
      <c r="H110" s="9" t="s">
        <v>12</v>
      </c>
      <c r="I110" s="15" t="s">
        <v>188</v>
      </c>
    </row>
    <row r="111" spans="1:9" s="8" customFormat="1" x14ac:dyDescent="0.25">
      <c r="A111" s="9"/>
      <c r="B111" s="9" t="s">
        <v>10</v>
      </c>
      <c r="C111" s="9" t="s">
        <v>76</v>
      </c>
      <c r="D111" s="10"/>
      <c r="E111" s="9" t="s">
        <v>190</v>
      </c>
      <c r="F111" s="9"/>
      <c r="G111" s="9">
        <v>213</v>
      </c>
      <c r="H111" s="9" t="s">
        <v>12</v>
      </c>
      <c r="I111" s="16" t="s">
        <v>139</v>
      </c>
    </row>
    <row r="112" spans="1:9" s="8" customFormat="1" x14ac:dyDescent="0.25">
      <c r="A112" s="9"/>
      <c r="B112" s="9" t="s">
        <v>10</v>
      </c>
      <c r="C112" s="9" t="s">
        <v>76</v>
      </c>
      <c r="D112" s="10"/>
      <c r="E112" s="9" t="s">
        <v>192</v>
      </c>
      <c r="F112" s="9"/>
      <c r="G112" s="9">
        <v>213</v>
      </c>
      <c r="H112" s="9" t="s">
        <v>12</v>
      </c>
      <c r="I112" s="16">
        <v>3725798</v>
      </c>
    </row>
    <row r="113" spans="1:9" s="8" customFormat="1" x14ac:dyDescent="0.25">
      <c r="A113" s="9"/>
      <c r="B113" s="9" t="s">
        <v>10</v>
      </c>
      <c r="C113" s="9" t="s">
        <v>76</v>
      </c>
      <c r="D113" s="10"/>
      <c r="E113" s="9" t="s">
        <v>193</v>
      </c>
      <c r="F113" s="9"/>
      <c r="G113" s="9">
        <v>213</v>
      </c>
      <c r="H113" s="9" t="s">
        <v>12</v>
      </c>
      <c r="I113" s="16">
        <v>3727456</v>
      </c>
    </row>
    <row r="114" spans="1:9" s="8" customFormat="1" x14ac:dyDescent="0.25">
      <c r="A114" s="9" t="s">
        <v>244</v>
      </c>
      <c r="B114" s="9" t="s">
        <v>10</v>
      </c>
      <c r="C114" s="9" t="s">
        <v>76</v>
      </c>
      <c r="D114" s="10"/>
      <c r="E114" s="9" t="s">
        <v>194</v>
      </c>
      <c r="F114" s="9" t="s">
        <v>244</v>
      </c>
      <c r="G114" s="9">
        <v>213</v>
      </c>
      <c r="H114" s="9" t="s">
        <v>12</v>
      </c>
      <c r="I114" s="16">
        <v>388812</v>
      </c>
    </row>
    <row r="115" spans="1:9" s="8" customFormat="1" x14ac:dyDescent="0.25">
      <c r="A115" s="9" t="s">
        <v>246</v>
      </c>
      <c r="B115" s="9" t="s">
        <v>10</v>
      </c>
      <c r="C115" s="9" t="s">
        <v>76</v>
      </c>
      <c r="D115" s="10"/>
      <c r="E115" s="9" t="s">
        <v>196</v>
      </c>
      <c r="F115" s="9" t="s">
        <v>246</v>
      </c>
      <c r="G115" s="9">
        <v>213</v>
      </c>
      <c r="H115" s="9" t="s">
        <v>12</v>
      </c>
      <c r="I115" s="16">
        <v>384310</v>
      </c>
    </row>
    <row r="116" spans="1:9" s="8" customFormat="1" x14ac:dyDescent="0.25">
      <c r="A116" s="9" t="s">
        <v>249</v>
      </c>
      <c r="B116" s="9" t="s">
        <v>10</v>
      </c>
      <c r="C116" s="9" t="s">
        <v>76</v>
      </c>
      <c r="D116" s="10"/>
      <c r="E116" s="9" t="s">
        <v>199</v>
      </c>
      <c r="F116" s="9" t="s">
        <v>249</v>
      </c>
      <c r="G116" s="9">
        <v>213</v>
      </c>
      <c r="H116" s="9" t="s">
        <v>12</v>
      </c>
      <c r="I116" s="16">
        <v>388863</v>
      </c>
    </row>
    <row r="117" spans="1:9" s="8" customFormat="1" x14ac:dyDescent="0.25">
      <c r="A117" s="9" t="s">
        <v>251</v>
      </c>
      <c r="B117" s="9" t="s">
        <v>10</v>
      </c>
      <c r="C117" s="9" t="s">
        <v>76</v>
      </c>
      <c r="D117" s="10"/>
      <c r="E117" s="9" t="s">
        <v>201</v>
      </c>
      <c r="F117" s="9" t="s">
        <v>251</v>
      </c>
      <c r="G117" s="9">
        <v>213</v>
      </c>
      <c r="H117" s="9" t="s">
        <v>12</v>
      </c>
      <c r="I117" s="16">
        <v>388308</v>
      </c>
    </row>
    <row r="118" spans="1:9" s="8" customFormat="1" x14ac:dyDescent="0.25">
      <c r="A118" s="9" t="s">
        <v>254</v>
      </c>
      <c r="B118" s="9" t="s">
        <v>10</v>
      </c>
      <c r="C118" s="9" t="s">
        <v>76</v>
      </c>
      <c r="D118" s="10"/>
      <c r="E118" s="9" t="str">
        <f>IFERROR(INDEX([1]ARBI!$A:$A,MATCH(I118,[1]ARBI!$D:$D,0)),"")</f>
        <v>WCAPITAL</v>
      </c>
      <c r="F118" s="9" t="s">
        <v>254</v>
      </c>
      <c r="G118" s="9">
        <v>213</v>
      </c>
      <c r="H118" s="9" t="s">
        <v>12</v>
      </c>
      <c r="I118" s="16">
        <v>386232</v>
      </c>
    </row>
    <row r="119" spans="1:9" x14ac:dyDescent="0.25">
      <c r="A119" s="1"/>
      <c r="F119" s="1"/>
    </row>
    <row r="120" spans="1:9" x14ac:dyDescent="0.25">
      <c r="A120" s="1"/>
      <c r="F120" s="1"/>
    </row>
    <row r="121" spans="1:9" x14ac:dyDescent="0.25">
      <c r="A121" s="1"/>
      <c r="F121" s="1"/>
    </row>
    <row r="122" spans="1:9" x14ac:dyDescent="0.25">
      <c r="A122" s="1"/>
      <c r="F122" s="1"/>
    </row>
    <row r="123" spans="1:9" x14ac:dyDescent="0.25">
      <c r="A123" s="1"/>
      <c r="F123" s="1"/>
    </row>
    <row r="124" spans="1:9" x14ac:dyDescent="0.25">
      <c r="A124" s="1"/>
      <c r="F124" s="1"/>
    </row>
    <row r="125" spans="1:9" x14ac:dyDescent="0.25">
      <c r="A125" s="1"/>
      <c r="F125" s="1"/>
    </row>
    <row r="126" spans="1:9" x14ac:dyDescent="0.25">
      <c r="A126" s="1"/>
      <c r="F126" s="1"/>
      <c r="H126" s="6"/>
    </row>
  </sheetData>
  <autoFilter ref="A1:I51" xr:uid="{342BD848-68BE-4451-8E96-06977ED370D0}">
    <sortState xmlns:xlrd2="http://schemas.microsoft.com/office/spreadsheetml/2017/richdata2" ref="A2:I120">
      <sortCondition ref="D1:D51"/>
    </sortState>
  </autoFilter>
  <phoneticPr fontId="1" type="noConversion"/>
  <conditionalFormatting sqref="I1:I104857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ff1c971-0231-4deb-8c93-fa960434440e" xsi:nil="true"/>
    <lcf76f155ced4ddcb4097134ff3c332f xmlns="ca14fa44-e9a4-4080-8b1b-63ac7bb8db9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B6603D68EBC6499712B9F6CB30E1C4" ma:contentTypeVersion="12" ma:contentTypeDescription="Create a new document." ma:contentTypeScope="" ma:versionID="434332fa78df8d18540877ccb53b95e3">
  <xsd:schema xmlns:xsd="http://www.w3.org/2001/XMLSchema" xmlns:xs="http://www.w3.org/2001/XMLSchema" xmlns:p="http://schemas.microsoft.com/office/2006/metadata/properties" xmlns:ns2="ca14fa44-e9a4-4080-8b1b-63ac7bb8db96" xmlns:ns3="3ff1c971-0231-4deb-8c93-fa960434440e" targetNamespace="http://schemas.microsoft.com/office/2006/metadata/properties" ma:root="true" ma:fieldsID="a16306ed887d5d07b8f3fa3310a185ae" ns2:_="" ns3:_="">
    <xsd:import namespace="ca14fa44-e9a4-4080-8b1b-63ac7bb8db96"/>
    <xsd:import namespace="3ff1c971-0231-4deb-8c93-fa96043444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14fa44-e9a4-4080-8b1b-63ac7bb8db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8bab319-7264-4f47-80af-42659fe7e5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f1c971-0231-4deb-8c93-fa96043444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00e82e4-e620-4d49-aa79-330a62cfee0d}" ma:internalName="TaxCatchAll" ma:showField="CatchAllData" ma:web="3ff1c971-0231-4deb-8c93-fa96043444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E99BDD-ED54-46A4-B0F3-8FD99F19F281}">
  <ds:schemaRefs>
    <ds:schemaRef ds:uri="http://schemas.microsoft.com/office/2006/metadata/properties"/>
    <ds:schemaRef ds:uri="http://schemas.microsoft.com/office/infopath/2007/PartnerControls"/>
    <ds:schemaRef ds:uri="3ff1c971-0231-4deb-8c93-fa960434440e"/>
    <ds:schemaRef ds:uri="ca14fa44-e9a4-4080-8b1b-63ac7bb8db96"/>
  </ds:schemaRefs>
</ds:datastoreItem>
</file>

<file path=customXml/itemProps2.xml><?xml version="1.0" encoding="utf-8"?>
<ds:datastoreItem xmlns:ds="http://schemas.openxmlformats.org/officeDocument/2006/customXml" ds:itemID="{C562A0E1-A845-43A2-ABD9-B6AA884F20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DDA3BD-E9BE-49DB-A54D-259389CDD6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14fa44-e9a4-4080-8b1b-63ac7bb8db96"/>
    <ds:schemaRef ds:uri="3ff1c971-0231-4deb-8c93-fa96043444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Kaique Lima</dc:creator>
  <cp:lastModifiedBy>Gustavo Prometti</cp:lastModifiedBy>
  <dcterms:created xsi:type="dcterms:W3CDTF">2023-08-10T20:20:21Z</dcterms:created>
  <dcterms:modified xsi:type="dcterms:W3CDTF">2025-09-08T22:14:33Z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0x01010053B6603D68EBC6499712B9F6CB30E1C4</vt:lpwstr>
  </property>
  <property fmtid="{D5CDD505-2E9C-101B-9397-08002B2CF9AE}" pid="3" name="Order">
    <vt:r8>9800</vt:r8>
  </property>
  <property fmtid="{D5CDD505-2E9C-101B-9397-08002B2CF9AE}" pid="4" name="MediaServiceImageTags">
    <vt:lpwstr/>
  </property>
</Properties>
</file>